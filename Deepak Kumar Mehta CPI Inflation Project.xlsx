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ta\Desktop\1 CODING NINJA\CPI Inflation Project\"/>
    </mc:Choice>
  </mc:AlternateContent>
  <xr:revisionPtr revIDLastSave="0" documentId="13_ncr:1_{A3D27AFF-358F-4CCB-953E-CD19F41F7D2B}" xr6:coauthVersionLast="47" xr6:coauthVersionMax="47" xr10:uidLastSave="{00000000-0000-0000-0000-000000000000}"/>
  <bookViews>
    <workbookView xWindow="-108" yWindow="-108" windowWidth="23256" windowHeight="12456" tabRatio="595" firstSheet="7" activeTab="12" xr2:uid="{55074C4E-CD28-43F8-AB0F-C5BF5B431B65}"/>
  </bookViews>
  <sheets>
    <sheet name="Orginal_All_india_index" sheetId="2" r:id="rId1"/>
    <sheet name="PROBLEM STATEMENT" sheetId="6" r:id="rId2"/>
    <sheet name="All_India_Index_Upto_April23 (1" sheetId="1" r:id="rId3"/>
    <sheet name="Broder Categories" sheetId="18" r:id="rId4"/>
    <sheet name="Problem 1" sheetId="8" r:id="rId5"/>
    <sheet name="Problem 2" sheetId="11" r:id="rId6"/>
    <sheet name="Prb 3 Question 1" sheetId="12" r:id="rId7"/>
    <sheet name="Prb 3 Question 2" sheetId="4" r:id="rId8"/>
    <sheet name="4.1Rular " sheetId="19" r:id="rId9"/>
    <sheet name="4.2Rural+Urabn" sheetId="20" r:id="rId10"/>
    <sheet name="4.3Urban" sheetId="21" r:id="rId11"/>
    <sheet name="Problem 5.1" sheetId="28" r:id="rId12"/>
    <sheet name="Problem 5.2" sheetId="31" r:id="rId13"/>
  </sheets>
  <definedNames>
    <definedName name="_xlnm._FilterDatabase" localSheetId="2" hidden="1">'All_India_Index_Upto_April23 (1'!$A$1:$AH$376</definedName>
    <definedName name="_xlnm._FilterDatabase" localSheetId="3" hidden="1">'Broder Categories'!$A$1:$K$376</definedName>
    <definedName name="_xlnm._FilterDatabase" localSheetId="0" hidden="1">Orginal_All_india_index!$A$1:$AD$373</definedName>
    <definedName name="_xlnm._FilterDatabase" localSheetId="6" hidden="1">'Prb 3 Question 1'!$A$54:$P$1048296</definedName>
    <definedName name="_xlnm._FilterDatabase" localSheetId="12" hidden="1">'Problem 5.2'!$A$1:$W$13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1" l="1"/>
  <c r="E4" i="12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K64" i="31"/>
  <c r="K65" i="31"/>
  <c r="K66" i="31"/>
  <c r="K67" i="31"/>
  <c r="K68" i="31"/>
  <c r="K69" i="31"/>
  <c r="K70" i="31"/>
  <c r="K71" i="31"/>
  <c r="K72" i="31"/>
  <c r="K73" i="31"/>
  <c r="K74" i="31"/>
  <c r="K75" i="31"/>
  <c r="K76" i="31"/>
  <c r="K77" i="31"/>
  <c r="K78" i="31"/>
  <c r="K79" i="31"/>
  <c r="K80" i="31"/>
  <c r="K81" i="31"/>
  <c r="K82" i="31"/>
  <c r="K83" i="31"/>
  <c r="K84" i="31"/>
  <c r="K85" i="31"/>
  <c r="M64" i="31"/>
  <c r="M65" i="31"/>
  <c r="M66" i="31"/>
  <c r="M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82" i="31"/>
  <c r="M83" i="31"/>
  <c r="M84" i="31"/>
  <c r="M85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S64" i="31"/>
  <c r="S65" i="31"/>
  <c r="S66" i="31"/>
  <c r="S67" i="31"/>
  <c r="S68" i="31"/>
  <c r="S69" i="31"/>
  <c r="S70" i="31"/>
  <c r="S71" i="31"/>
  <c r="S72" i="31"/>
  <c r="S73" i="31"/>
  <c r="S74" i="31"/>
  <c r="S75" i="31"/>
  <c r="S76" i="31"/>
  <c r="S77" i="31"/>
  <c r="S78" i="31"/>
  <c r="S79" i="31"/>
  <c r="S80" i="31"/>
  <c r="S81" i="31"/>
  <c r="S82" i="31"/>
  <c r="S83" i="31"/>
  <c r="S84" i="31"/>
  <c r="S85" i="31"/>
  <c r="U64" i="31"/>
  <c r="U65" i="31"/>
  <c r="U66" i="31"/>
  <c r="U67" i="31"/>
  <c r="U68" i="31"/>
  <c r="U69" i="31"/>
  <c r="U70" i="31"/>
  <c r="U71" i="31"/>
  <c r="U72" i="31"/>
  <c r="U73" i="31"/>
  <c r="U74" i="31"/>
  <c r="U75" i="31"/>
  <c r="U76" i="31"/>
  <c r="U77" i="31"/>
  <c r="U78" i="31"/>
  <c r="U79" i="31"/>
  <c r="U80" i="31"/>
  <c r="U81" i="31"/>
  <c r="U82" i="31"/>
  <c r="U83" i="31"/>
  <c r="U84" i="31"/>
  <c r="U85" i="31"/>
  <c r="W64" i="31"/>
  <c r="W65" i="31"/>
  <c r="W66" i="31"/>
  <c r="W67" i="31"/>
  <c r="W68" i="31"/>
  <c r="W69" i="31"/>
  <c r="W70" i="31"/>
  <c r="W71" i="31"/>
  <c r="W72" i="31"/>
  <c r="W73" i="31"/>
  <c r="W74" i="31"/>
  <c r="W75" i="31"/>
  <c r="W76" i="31"/>
  <c r="W77" i="31"/>
  <c r="W78" i="31"/>
  <c r="W79" i="31"/>
  <c r="W80" i="31"/>
  <c r="W81" i="31"/>
  <c r="W82" i="31"/>
  <c r="W83" i="31"/>
  <c r="W84" i="31"/>
  <c r="W85" i="31"/>
  <c r="W63" i="31"/>
  <c r="U63" i="31"/>
  <c r="S63" i="31"/>
  <c r="Q63" i="31"/>
  <c r="O63" i="31"/>
  <c r="M63" i="31"/>
  <c r="K63" i="31"/>
  <c r="I63" i="31"/>
  <c r="G63" i="31"/>
  <c r="E63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K36" i="31"/>
  <c r="K37" i="31"/>
  <c r="K38" i="31"/>
  <c r="K39" i="31"/>
  <c r="K40" i="31"/>
  <c r="K41" i="31"/>
  <c r="K42" i="31"/>
  <c r="K43" i="31"/>
  <c r="K44" i="31"/>
  <c r="K45" i="31"/>
  <c r="K46" i="31"/>
  <c r="K47" i="31"/>
  <c r="K48" i="31"/>
  <c r="K49" i="31"/>
  <c r="K50" i="31"/>
  <c r="K51" i="31"/>
  <c r="K52" i="31"/>
  <c r="K53" i="31"/>
  <c r="K54" i="31"/>
  <c r="K55" i="31"/>
  <c r="K56" i="31"/>
  <c r="K57" i="31"/>
  <c r="M36" i="31"/>
  <c r="M37" i="31"/>
  <c r="M38" i="31"/>
  <c r="M39" i="31"/>
  <c r="M40" i="31"/>
  <c r="M41" i="31"/>
  <c r="M42" i="31"/>
  <c r="M43" i="31"/>
  <c r="M44" i="31"/>
  <c r="M45" i="31"/>
  <c r="M46" i="31"/>
  <c r="M47" i="31"/>
  <c r="M48" i="31"/>
  <c r="M49" i="31"/>
  <c r="M50" i="31"/>
  <c r="M51" i="31"/>
  <c r="M52" i="31"/>
  <c r="M53" i="31"/>
  <c r="M54" i="31"/>
  <c r="M55" i="31"/>
  <c r="M56" i="31"/>
  <c r="M57" i="31"/>
  <c r="O51" i="31"/>
  <c r="O52" i="31"/>
  <c r="O53" i="31"/>
  <c r="O54" i="31"/>
  <c r="O55" i="31"/>
  <c r="O56" i="31"/>
  <c r="O57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S36" i="31"/>
  <c r="S37" i="31"/>
  <c r="S38" i="31"/>
  <c r="S39" i="31"/>
  <c r="S40" i="31"/>
  <c r="S41" i="31"/>
  <c r="S42" i="31"/>
  <c r="S43" i="31"/>
  <c r="S44" i="31"/>
  <c r="S45" i="31"/>
  <c r="S46" i="31"/>
  <c r="S47" i="31"/>
  <c r="S48" i="31"/>
  <c r="S49" i="31"/>
  <c r="S50" i="31"/>
  <c r="S51" i="31"/>
  <c r="S52" i="31"/>
  <c r="S53" i="31"/>
  <c r="S54" i="31"/>
  <c r="S55" i="31"/>
  <c r="S56" i="31"/>
  <c r="S57" i="31"/>
  <c r="U36" i="31"/>
  <c r="U37" i="31"/>
  <c r="U38" i="31"/>
  <c r="U39" i="31"/>
  <c r="U40" i="31"/>
  <c r="U41" i="31"/>
  <c r="U42" i="31"/>
  <c r="U43" i="31"/>
  <c r="U44" i="31"/>
  <c r="U45" i="31"/>
  <c r="U46" i="31"/>
  <c r="U47" i="31"/>
  <c r="U48" i="31"/>
  <c r="U49" i="31"/>
  <c r="U50" i="31"/>
  <c r="U51" i="31"/>
  <c r="U52" i="31"/>
  <c r="U53" i="31"/>
  <c r="U54" i="31"/>
  <c r="U55" i="31"/>
  <c r="U56" i="31"/>
  <c r="U57" i="31"/>
  <c r="W36" i="31"/>
  <c r="W37" i="31"/>
  <c r="W38" i="31"/>
  <c r="W39" i="31"/>
  <c r="W40" i="31"/>
  <c r="W41" i="31"/>
  <c r="W42" i="31"/>
  <c r="W43" i="31"/>
  <c r="W44" i="31"/>
  <c r="W45" i="31"/>
  <c r="W46" i="31"/>
  <c r="W47" i="31"/>
  <c r="W48" i="31"/>
  <c r="W49" i="31"/>
  <c r="W50" i="31"/>
  <c r="W51" i="31"/>
  <c r="W52" i="31"/>
  <c r="W53" i="31"/>
  <c r="W54" i="31"/>
  <c r="W55" i="31"/>
  <c r="W56" i="31"/>
  <c r="W57" i="31"/>
  <c r="W35" i="31"/>
  <c r="U35" i="31"/>
  <c r="S35" i="31"/>
  <c r="Q35" i="31"/>
  <c r="M35" i="31"/>
  <c r="K35" i="31"/>
  <c r="I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35" i="31"/>
  <c r="U4" i="31"/>
  <c r="U5" i="31"/>
  <c r="U6" i="31"/>
  <c r="U7" i="31"/>
  <c r="U8" i="31"/>
  <c r="U9" i="31"/>
  <c r="U10" i="31"/>
  <c r="U11" i="31"/>
  <c r="U12" i="31"/>
  <c r="U13" i="31"/>
  <c r="U14" i="31"/>
  <c r="U15" i="31"/>
  <c r="U16" i="31"/>
  <c r="U17" i="31"/>
  <c r="U18" i="31"/>
  <c r="U19" i="31"/>
  <c r="U20" i="31"/>
  <c r="U21" i="31"/>
  <c r="U22" i="31"/>
  <c r="U23" i="31"/>
  <c r="U24" i="31"/>
  <c r="U25" i="31"/>
  <c r="W3" i="31"/>
  <c r="S4" i="31"/>
  <c r="S5" i="31"/>
  <c r="S6" i="31"/>
  <c r="S7" i="31"/>
  <c r="S8" i="31"/>
  <c r="S9" i="31"/>
  <c r="S10" i="31"/>
  <c r="S11" i="31"/>
  <c r="S12" i="31"/>
  <c r="S13" i="31"/>
  <c r="S14" i="31"/>
  <c r="S15" i="31"/>
  <c r="S16" i="31"/>
  <c r="S17" i="31"/>
  <c r="S18" i="31"/>
  <c r="S19" i="31"/>
  <c r="S20" i="31"/>
  <c r="S21" i="31"/>
  <c r="S22" i="31"/>
  <c r="S23" i="31"/>
  <c r="S24" i="31"/>
  <c r="S25" i="31"/>
  <c r="S3" i="31"/>
  <c r="W4" i="31"/>
  <c r="W5" i="31"/>
  <c r="W6" i="31"/>
  <c r="W7" i="31"/>
  <c r="W8" i="31"/>
  <c r="W9" i="31"/>
  <c r="W10" i="31"/>
  <c r="W11" i="31"/>
  <c r="W12" i="31"/>
  <c r="W13" i="31"/>
  <c r="W14" i="31"/>
  <c r="W15" i="31"/>
  <c r="W16" i="31"/>
  <c r="W17" i="31"/>
  <c r="W18" i="31"/>
  <c r="W19" i="31"/>
  <c r="W20" i="31"/>
  <c r="W21" i="31"/>
  <c r="W22" i="31"/>
  <c r="W23" i="31"/>
  <c r="W24" i="31"/>
  <c r="W25" i="31"/>
  <c r="Q4" i="31"/>
  <c r="Q5" i="3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M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K4" i="31"/>
  <c r="K5" i="31"/>
  <c r="K6" i="31"/>
  <c r="K7" i="31"/>
  <c r="K8" i="31"/>
  <c r="K9" i="31"/>
  <c r="K10" i="31"/>
  <c r="K11" i="31"/>
  <c r="K12" i="31"/>
  <c r="K13" i="31"/>
  <c r="K14" i="31"/>
  <c r="K15" i="31"/>
  <c r="K16" i="31"/>
  <c r="K17" i="31"/>
  <c r="K18" i="31"/>
  <c r="K19" i="31"/>
  <c r="K20" i="31"/>
  <c r="K21" i="31"/>
  <c r="K22" i="31"/>
  <c r="K23" i="31"/>
  <c r="K24" i="31"/>
  <c r="K25" i="31"/>
  <c r="Q3" i="31"/>
  <c r="O3" i="31"/>
  <c r="M3" i="31"/>
  <c r="K3" i="31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3" i="31"/>
  <c r="K9" i="21"/>
  <c r="L9" i="21"/>
  <c r="K11" i="21"/>
  <c r="L11" i="21"/>
  <c r="K10" i="21"/>
  <c r="L10" i="21"/>
  <c r="J11" i="21"/>
  <c r="J10" i="21"/>
  <c r="J9" i="21"/>
  <c r="K8" i="21"/>
  <c r="L8" i="21"/>
  <c r="J8" i="21"/>
  <c r="S86" i="31" l="1"/>
  <c r="O58" i="31"/>
  <c r="I58" i="31"/>
  <c r="U86" i="31"/>
  <c r="M58" i="31"/>
  <c r="E58" i="31"/>
  <c r="Q58" i="31"/>
  <c r="S58" i="31"/>
  <c r="U58" i="31"/>
  <c r="E86" i="31"/>
  <c r="G58" i="31"/>
  <c r="G86" i="31"/>
  <c r="I86" i="31"/>
  <c r="K86" i="31"/>
  <c r="M86" i="31"/>
  <c r="O86" i="31"/>
  <c r="K58" i="31"/>
  <c r="Q86" i="31"/>
  <c r="U26" i="31"/>
  <c r="E26" i="31"/>
  <c r="I26" i="31"/>
  <c r="K26" i="31"/>
  <c r="M26" i="31"/>
  <c r="S26" i="31"/>
  <c r="Q26" i="31"/>
  <c r="G26" i="31"/>
  <c r="O26" i="31"/>
  <c r="J10" i="20"/>
  <c r="K10" i="20"/>
  <c r="I10" i="20"/>
  <c r="J9" i="20"/>
  <c r="K9" i="20"/>
  <c r="I9" i="20"/>
  <c r="J8" i="20"/>
  <c r="K8" i="20"/>
  <c r="I8" i="20"/>
  <c r="J7" i="20"/>
  <c r="K7" i="20"/>
  <c r="I7" i="20"/>
  <c r="L10" i="19"/>
  <c r="M10" i="19"/>
  <c r="K10" i="19"/>
  <c r="L9" i="19"/>
  <c r="M9" i="19"/>
  <c r="K9" i="19"/>
  <c r="L8" i="19"/>
  <c r="M8" i="19"/>
  <c r="K8" i="19"/>
  <c r="L7" i="19"/>
  <c r="M7" i="19"/>
  <c r="K7" i="19"/>
  <c r="E227" i="1"/>
  <c r="E228" i="1" s="1"/>
  <c r="E229" i="1" s="1"/>
  <c r="F227" i="1"/>
  <c r="G227" i="1"/>
  <c r="G228" i="1" s="1"/>
  <c r="G229" i="1" s="1"/>
  <c r="H227" i="1"/>
  <c r="H228" i="1" s="1"/>
  <c r="H229" i="1" s="1"/>
  <c r="I227" i="1"/>
  <c r="I228" i="1" s="1"/>
  <c r="I229" i="1" s="1"/>
  <c r="J227" i="1"/>
  <c r="J228" i="1" s="1"/>
  <c r="J229" i="1" s="1"/>
  <c r="K227" i="1"/>
  <c r="K228" i="1" s="1"/>
  <c r="K229" i="1" s="1"/>
  <c r="L227" i="1"/>
  <c r="L228" i="1" s="1"/>
  <c r="L229" i="1" s="1"/>
  <c r="M227" i="1"/>
  <c r="M228" i="1" s="1"/>
  <c r="M229" i="1" s="1"/>
  <c r="N227" i="1"/>
  <c r="O227" i="1"/>
  <c r="O228" i="1" s="1"/>
  <c r="O229" i="1" s="1"/>
  <c r="P227" i="1"/>
  <c r="R227" i="1"/>
  <c r="S227" i="1"/>
  <c r="S228" i="1" s="1"/>
  <c r="T227" i="1"/>
  <c r="T228" i="1" s="1"/>
  <c r="T229" i="1" s="1"/>
  <c r="U227" i="1"/>
  <c r="U228" i="1" s="1"/>
  <c r="U229" i="1" s="1"/>
  <c r="W227" i="1"/>
  <c r="W228" i="1" s="1"/>
  <c r="W229" i="1" s="1"/>
  <c r="Y227" i="1"/>
  <c r="Y228" i="1" s="1"/>
  <c r="Y229" i="1" s="1"/>
  <c r="Z227" i="1"/>
  <c r="Z228" i="1" s="1"/>
  <c r="Z229" i="1" s="1"/>
  <c r="AA227" i="1"/>
  <c r="AA228" i="1" s="1"/>
  <c r="AA229" i="1" s="1"/>
  <c r="AB227" i="1"/>
  <c r="AB228" i="1" s="1"/>
  <c r="AB229" i="1" s="1"/>
  <c r="AC227" i="1"/>
  <c r="AC228" i="1" s="1"/>
  <c r="AC229" i="1" s="1"/>
  <c r="AD227" i="1"/>
  <c r="AD228" i="1" s="1"/>
  <c r="AF227" i="1"/>
  <c r="AF228" i="1" s="1"/>
  <c r="AG227" i="1"/>
  <c r="AH227" i="1"/>
  <c r="D227" i="1"/>
  <c r="D228" i="1" s="1"/>
  <c r="D229" i="1" s="1"/>
  <c r="AF229" i="1" l="1"/>
  <c r="AD229" i="1"/>
  <c r="P228" i="1"/>
  <c r="P229" i="1" s="1"/>
  <c r="N228" i="1"/>
  <c r="N229" i="1" s="1"/>
  <c r="F228" i="1"/>
  <c r="F229" i="1" s="1"/>
  <c r="AH228" i="1"/>
  <c r="AH229" i="1" s="1"/>
  <c r="R228" i="1"/>
  <c r="R229" i="1" s="1"/>
  <c r="S229" i="1"/>
  <c r="AG228" i="1"/>
  <c r="AG229" i="1" s="1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E85" i="4"/>
  <c r="F85" i="4"/>
  <c r="G85" i="4"/>
  <c r="H85" i="4"/>
  <c r="H97" i="4" s="1"/>
  <c r="I85" i="4"/>
  <c r="J85" i="4"/>
  <c r="K85" i="4"/>
  <c r="K97" i="4" s="1"/>
  <c r="L85" i="4"/>
  <c r="L97" i="4" s="1"/>
  <c r="M85" i="4"/>
  <c r="N85" i="4"/>
  <c r="O85" i="4"/>
  <c r="O97" i="4" s="1"/>
  <c r="P85" i="4"/>
  <c r="D85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E51" i="4"/>
  <c r="F51" i="4"/>
  <c r="F63" i="4" s="1"/>
  <c r="G51" i="4"/>
  <c r="H51" i="4"/>
  <c r="I51" i="4"/>
  <c r="J51" i="4"/>
  <c r="K51" i="4"/>
  <c r="L51" i="4"/>
  <c r="M51" i="4"/>
  <c r="N51" i="4"/>
  <c r="O51" i="4"/>
  <c r="P51" i="4"/>
  <c r="D51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E19" i="4"/>
  <c r="F19" i="4"/>
  <c r="G19" i="4"/>
  <c r="H19" i="4"/>
  <c r="I19" i="4"/>
  <c r="J19" i="4"/>
  <c r="K19" i="4"/>
  <c r="L19" i="4"/>
  <c r="M19" i="4"/>
  <c r="N19" i="4"/>
  <c r="O19" i="4"/>
  <c r="P19" i="4"/>
  <c r="D19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D116" i="4"/>
  <c r="E38" i="12"/>
  <c r="E39" i="12"/>
  <c r="E40" i="12"/>
  <c r="E41" i="12"/>
  <c r="E42" i="12"/>
  <c r="E43" i="12"/>
  <c r="E44" i="12"/>
  <c r="E45" i="12"/>
  <c r="E46" i="12"/>
  <c r="E47" i="12"/>
  <c r="E48" i="12"/>
  <c r="E37" i="12"/>
  <c r="E21" i="12"/>
  <c r="E22" i="12"/>
  <c r="E23" i="12"/>
  <c r="E24" i="12"/>
  <c r="E25" i="12"/>
  <c r="E26" i="12"/>
  <c r="E27" i="12"/>
  <c r="E28" i="12"/>
  <c r="E29" i="12"/>
  <c r="E30" i="12"/>
  <c r="E31" i="12"/>
  <c r="E20" i="12"/>
  <c r="E5" i="12"/>
  <c r="E6" i="12"/>
  <c r="E7" i="12"/>
  <c r="E8" i="12"/>
  <c r="E9" i="12"/>
  <c r="E10" i="12"/>
  <c r="E11" i="12"/>
  <c r="E12" i="12"/>
  <c r="E13" i="12"/>
  <c r="E14" i="12"/>
  <c r="E15" i="12"/>
  <c r="I5" i="11"/>
  <c r="D2" i="11"/>
  <c r="I4" i="11"/>
  <c r="I6" i="11"/>
  <c r="I7" i="11"/>
  <c r="I8" i="11"/>
  <c r="I9" i="11"/>
  <c r="I3" i="11"/>
  <c r="D80" i="11"/>
  <c r="D68" i="11"/>
  <c r="D56" i="11"/>
  <c r="D44" i="11"/>
  <c r="D33" i="11"/>
  <c r="D21" i="11"/>
  <c r="D9" i="11"/>
  <c r="D41" i="8" a="1"/>
  <c r="D41" i="8" s="1"/>
  <c r="D40" i="8" a="1"/>
  <c r="D40" i="8" s="1"/>
  <c r="D39" i="8" a="1"/>
  <c r="D39" i="8" s="1"/>
  <c r="D32" i="8" a="1"/>
  <c r="D32" i="8" s="1"/>
  <c r="D29" i="8" a="1"/>
  <c r="D29" i="8" s="1"/>
  <c r="I17" i="8" s="1"/>
  <c r="D16" i="8" a="1"/>
  <c r="D16" i="8" s="1"/>
  <c r="I16" i="8" s="1"/>
  <c r="F31" i="4" l="1"/>
  <c r="E31" i="4"/>
  <c r="I31" i="4"/>
  <c r="D63" i="4"/>
  <c r="E63" i="4"/>
  <c r="O63" i="4"/>
  <c r="M97" i="4"/>
  <c r="N97" i="4"/>
  <c r="H31" i="4"/>
  <c r="P63" i="4"/>
  <c r="N63" i="4"/>
  <c r="G31" i="4"/>
  <c r="D31" i="4"/>
  <c r="J97" i="4"/>
  <c r="M63" i="4"/>
  <c r="I97" i="4"/>
  <c r="P31" i="4"/>
  <c r="L63" i="4"/>
  <c r="O31" i="4"/>
  <c r="J63" i="4"/>
  <c r="K63" i="4"/>
  <c r="F97" i="4"/>
  <c r="G97" i="4"/>
  <c r="D97" i="4"/>
  <c r="M31" i="4"/>
  <c r="I63" i="4"/>
  <c r="E97" i="4"/>
  <c r="L31" i="4"/>
  <c r="H63" i="4"/>
  <c r="N31" i="4"/>
  <c r="K31" i="4"/>
  <c r="G63" i="4"/>
  <c r="J31" i="4"/>
  <c r="P97" i="4"/>
  <c r="K23" i="8"/>
  <c r="I20" i="8"/>
  <c r="J20" i="8"/>
  <c r="K17" i="8"/>
  <c r="I23" i="8"/>
  <c r="K20" i="8"/>
  <c r="J17" i="8"/>
  <c r="J16" i="8"/>
  <c r="K16" i="8"/>
  <c r="J23" i="8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2" i="1"/>
  <c r="Y26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2" i="1"/>
  <c r="AC263" i="1"/>
  <c r="AC264" i="1" s="1"/>
  <c r="AF263" i="1"/>
  <c r="AD263" i="1"/>
  <c r="AD264" i="1" s="1"/>
  <c r="AG263" i="1"/>
  <c r="AH263" i="1"/>
  <c r="AH264" i="1" s="1"/>
  <c r="AB263" i="1"/>
  <c r="AB264" i="1" s="1"/>
  <c r="AA263" i="1"/>
  <c r="AA264" i="1" s="1"/>
  <c r="Z266" i="1"/>
  <c r="Z267" i="1" s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7" i="1"/>
  <c r="X298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2" i="1"/>
  <c r="X373" i="1"/>
  <c r="X375" i="1"/>
  <c r="X376" i="1"/>
  <c r="X2" i="1"/>
  <c r="S263" i="1"/>
  <c r="S264" i="1" s="1"/>
  <c r="S265" i="1" s="1"/>
  <c r="T263" i="1"/>
  <c r="T264" i="1" s="1"/>
  <c r="U263" i="1"/>
  <c r="R263" i="1"/>
  <c r="R264" i="1" s="1"/>
  <c r="R265" i="1" s="1"/>
  <c r="P266" i="1"/>
  <c r="P267" i="1" s="1"/>
  <c r="P268" i="1" s="1"/>
  <c r="O263" i="1"/>
  <c r="O264" i="1" s="1"/>
  <c r="O265" i="1" s="1"/>
  <c r="J266" i="1"/>
  <c r="J267" i="1" s="1"/>
  <c r="J268" i="1" s="1"/>
  <c r="K266" i="1"/>
  <c r="K267" i="1" s="1"/>
  <c r="K268" i="1" s="1"/>
  <c r="L266" i="1"/>
  <c r="L267" i="1" s="1"/>
  <c r="L268" i="1" s="1"/>
  <c r="M266" i="1"/>
  <c r="M267" i="1" s="1"/>
  <c r="M268" i="1" s="1"/>
  <c r="N266" i="1"/>
  <c r="N267" i="1" s="1"/>
  <c r="N268" i="1" s="1"/>
  <c r="I266" i="1"/>
  <c r="I267" i="1" s="1"/>
  <c r="I268" i="1" s="1"/>
  <c r="H266" i="1"/>
  <c r="H267" i="1" s="1"/>
  <c r="H268" i="1" s="1"/>
  <c r="G266" i="1"/>
  <c r="G267" i="1" s="1"/>
  <c r="G268" i="1" s="1"/>
  <c r="F266" i="1"/>
  <c r="F267" i="1" s="1"/>
  <c r="F268" i="1" s="1"/>
  <c r="E263" i="1"/>
  <c r="E264" i="1" s="1"/>
  <c r="E265" i="1" s="1"/>
  <c r="D266" i="1"/>
  <c r="D267" i="1" s="1"/>
  <c r="D268" i="1" s="1"/>
  <c r="X227" i="1" l="1"/>
  <c r="X228" i="1" s="1"/>
  <c r="X229" i="1" s="1"/>
  <c r="AE227" i="1"/>
  <c r="V227" i="1"/>
  <c r="V228" i="1" s="1"/>
  <c r="V229" i="1" s="1"/>
  <c r="Q227" i="1"/>
  <c r="Q228" i="1" s="1"/>
  <c r="Q229" i="1" s="1"/>
  <c r="K24" i="8"/>
  <c r="K36" i="8" s="1"/>
  <c r="J24" i="8"/>
  <c r="J29" i="8"/>
  <c r="J30" i="8"/>
  <c r="I24" i="8"/>
  <c r="AG264" i="1"/>
  <c r="AG265" i="1" s="1"/>
  <c r="X296" i="1"/>
  <c r="X371" i="1"/>
  <c r="X299" i="1"/>
  <c r="X374" i="1"/>
  <c r="AE264" i="1"/>
  <c r="AE263" i="1"/>
  <c r="Y267" i="1"/>
  <c r="Y268" i="1" s="1"/>
  <c r="V263" i="1"/>
  <c r="Q265" i="1"/>
  <c r="Q264" i="1"/>
  <c r="Q263" i="1"/>
  <c r="X266" i="1"/>
  <c r="X267" i="1" s="1"/>
  <c r="X268" i="1" s="1"/>
  <c r="AD265" i="1"/>
  <c r="AD266" i="1" s="1"/>
  <c r="AD267" i="1" s="1"/>
  <c r="AD268" i="1" s="1"/>
  <c r="T265" i="1"/>
  <c r="T266" i="1" s="1"/>
  <c r="T267" i="1" s="1"/>
  <c r="U264" i="1"/>
  <c r="V264" i="1" s="1"/>
  <c r="AF264" i="1"/>
  <c r="AF265" i="1" s="1"/>
  <c r="AF266" i="1" s="1"/>
  <c r="AA265" i="1"/>
  <c r="Z268" i="1"/>
  <c r="AH265" i="1"/>
  <c r="AH266" i="1" s="1"/>
  <c r="AC265" i="1"/>
  <c r="AB265" i="1"/>
  <c r="S266" i="1"/>
  <c r="R266" i="1"/>
  <c r="O266" i="1"/>
  <c r="O267" i="1" s="1"/>
  <c r="E266" i="1"/>
  <c r="E267" i="1" s="1"/>
  <c r="AE228" i="1" l="1"/>
  <c r="AE229" i="1" s="1"/>
  <c r="I31" i="8"/>
  <c r="I35" i="8"/>
  <c r="I34" i="8"/>
  <c r="I32" i="8"/>
  <c r="I29" i="8"/>
  <c r="I30" i="8"/>
  <c r="J31" i="8"/>
  <c r="J32" i="8"/>
  <c r="J34" i="8"/>
  <c r="J35" i="8"/>
  <c r="I33" i="8"/>
  <c r="K31" i="8"/>
  <c r="K32" i="8"/>
  <c r="K34" i="8"/>
  <c r="K35" i="8"/>
  <c r="K29" i="8"/>
  <c r="J36" i="8"/>
  <c r="J33" i="8"/>
  <c r="K33" i="8"/>
  <c r="K30" i="8"/>
  <c r="I36" i="8"/>
  <c r="AE265" i="1"/>
  <c r="AG266" i="1"/>
  <c r="AG267" i="1" s="1"/>
  <c r="Q267" i="1"/>
  <c r="Q266" i="1"/>
  <c r="T268" i="1"/>
  <c r="AA266" i="1"/>
  <c r="U265" i="1"/>
  <c r="U266" i="1" s="1"/>
  <c r="V266" i="1" s="1"/>
  <c r="AF267" i="1"/>
  <c r="AF268" i="1" s="1"/>
  <c r="R267" i="1"/>
  <c r="R268" i="1" s="1"/>
  <c r="AH267" i="1"/>
  <c r="AH268" i="1" s="1"/>
  <c r="S267" i="1"/>
  <c r="AC266" i="1"/>
  <c r="AC267" i="1" s="1"/>
  <c r="AB266" i="1"/>
  <c r="AB267" i="1" s="1"/>
  <c r="O268" i="1"/>
  <c r="E268" i="1"/>
  <c r="AG268" i="1" l="1"/>
  <c r="AA267" i="1"/>
  <c r="AE267" i="1" s="1"/>
  <c r="AE266" i="1"/>
  <c r="Q268" i="1"/>
  <c r="V265" i="1"/>
  <c r="S268" i="1"/>
  <c r="U267" i="1"/>
  <c r="U268" i="1" s="1"/>
  <c r="AC268" i="1"/>
  <c r="AB268" i="1"/>
  <c r="AA268" i="1" l="1"/>
  <c r="AE268" i="1" s="1"/>
  <c r="V267" i="1"/>
  <c r="V2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<sst xmlns="http://schemas.openxmlformats.org/spreadsheetml/2006/main" count="4341" uniqueCount="138">
  <si>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</si>
  <si>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</si>
  <si>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</si>
  <si>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</si>
  <si>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</si>
  <si>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</si>
  <si>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</si>
  <si>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</si>
  <si>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</si>
  <si>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</si>
  <si>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</si>
  <si>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</si>
  <si>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</si>
  <si>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</si>
  <si>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</si>
  <si>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</si>
  <si>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</si>
  <si>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</si>
  <si>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</si>
  <si>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</si>
  <si>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</si>
  <si>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</si>
  <si>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</si>
  <si>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</si>
  <si>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</si>
  <si>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</si>
  <si>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</si>
  <si>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</si>
  <si>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</si>
  <si>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</si>
  <si>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</si>
  <si>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</si>
  <si>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</si>
  <si>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</si>
  <si>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</si>
  <si>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</si>
  <si>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</si>
  <si>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</si>
  <si>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</si>
  <si>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</si>
  <si>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</si>
  <si>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</si>
  <si>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</si>
  <si>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</si>
  <si>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</si>
  <si>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</si>
  <si>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</si>
  <si>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</si>
  <si>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</si>
  <si>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FOOD</t>
  </si>
  <si>
    <t>TOXICANTS</t>
  </si>
  <si>
    <t>CLOTHING AND FOOTWEAR</t>
  </si>
  <si>
    <t>DAILY ESSENTIALS</t>
  </si>
  <si>
    <t>EDUCATION</t>
  </si>
  <si>
    <t>HEALTH</t>
  </si>
  <si>
    <t>HOUSING</t>
  </si>
  <si>
    <t>PAN, TOBACCO AND INTOXICANTS</t>
  </si>
  <si>
    <t>CATEGORY</t>
  </si>
  <si>
    <t>URBAN</t>
  </si>
  <si>
    <t>BRODER CATEGORIES</t>
  </si>
  <si>
    <t>MISCELLANEOUS</t>
  </si>
  <si>
    <t>Contribution of Broder Categories</t>
  </si>
  <si>
    <t>&gt;</t>
  </si>
  <si>
    <t>2. A trend of Y-o-Y increase in CPI (rural + urban) inflation starting 2017 for the entire basket of products combined. • Create a graph depicting the growth rate Y-o-Y and identify the year with highest inflation rate • Highlight the reason why the year has the highest inflation (based on research).</t>
  </si>
  <si>
    <t>Total</t>
  </si>
  <si>
    <t>Food Category has Highest Contribution in all the Area.</t>
  </si>
  <si>
    <t>BRODER  CATEGORY AVERAGE DATA</t>
  </si>
  <si>
    <t>Average of YE</t>
  </si>
  <si>
    <t>YEAR</t>
  </si>
  <si>
    <t>AVERAGE</t>
  </si>
  <si>
    <t>YoY Inflation</t>
  </si>
  <si>
    <t>Items like non-alcoholic beverages, personal care products, and health-related goods are mainly affected by demand-side factors.</t>
  </si>
  <si>
    <t>From January 2019 to May 2023 categories such as vegetables, oils and fats, milk, eggs, pulses, and sugar frequently experience supply-side constraints.</t>
  </si>
  <si>
    <t>Russia-Ukraine conflict in 2022 further intensified supply chain challenges and added to commodity price pressures.</t>
  </si>
  <si>
    <t>MoM Infaltion</t>
  </si>
  <si>
    <t>Lowest Inflation Month is Feb 2023</t>
  </si>
  <si>
    <t>Highest Inflation Month is January 2022</t>
  </si>
  <si>
    <t>Lowest Inflation Month is January 2023</t>
  </si>
  <si>
    <t>Rural Area Infation percetage of each product ctegory</t>
  </si>
  <si>
    <t>Rural+Urban  Area Infation percetage of each product ctegory</t>
  </si>
  <si>
    <t>Urban  Area Infation percetage of each product ctegory</t>
  </si>
  <si>
    <t>Absolute change in Inflation</t>
  </si>
  <si>
    <t>Urban Area Data</t>
  </si>
  <si>
    <t>Sub Categories</t>
  </si>
  <si>
    <t>Rural Area Absolute inflation</t>
  </si>
  <si>
    <t>Rural+Urban Area Absolute inflation</t>
  </si>
  <si>
    <t>Urban Area Absolute inflation</t>
  </si>
  <si>
    <r>
      <rPr>
        <b/>
        <sz val="11"/>
        <color theme="1"/>
        <rFont val="Aptos Narrow"/>
        <family val="2"/>
        <scheme val="minor"/>
      </rPr>
      <t>Biggest Individual Contrbutor in Urabn Area is</t>
    </r>
    <r>
      <rPr>
        <sz val="11"/>
        <color theme="1"/>
        <rFont val="Aptos Narrow"/>
        <family val="2"/>
        <scheme val="minor"/>
      </rPr>
      <t xml:space="preserve"> </t>
    </r>
    <r>
      <rPr>
        <b/>
        <u/>
        <sz val="11"/>
        <color theme="1"/>
        <rFont val="Aptos Narrow"/>
        <family val="2"/>
        <scheme val="minor"/>
      </rPr>
      <t>Spices</t>
    </r>
    <r>
      <rPr>
        <sz val="11"/>
        <color theme="1"/>
        <rFont val="Aptos Narrow"/>
        <family val="2"/>
        <scheme val="minor"/>
      </rPr>
      <t>.</t>
    </r>
  </si>
  <si>
    <t>IMAGE AND FACTS TAKEN FROM  INDIAN EXPRESS.</t>
  </si>
  <si>
    <t>2018-19</t>
  </si>
  <si>
    <t>2019-20</t>
  </si>
  <si>
    <t>2020-21</t>
  </si>
  <si>
    <t>2021-22</t>
  </si>
  <si>
    <t>Rural YoY inflation Before and After COVID</t>
  </si>
  <si>
    <t>Rural+Urban YoY inflation Before and After COVID</t>
  </si>
  <si>
    <t>Urban YoY inflation Before and After COVID</t>
  </si>
  <si>
    <t>March 2018-Feb 2019</t>
  </si>
  <si>
    <t>March 2019-Feb 2020</t>
  </si>
  <si>
    <t>March 2020-Feb 2021</t>
  </si>
  <si>
    <t>March 2021-Feb 2022</t>
  </si>
  <si>
    <t xml:space="preserve">Infaltion before Covid is 2.3% in 2018-19 ,8.4% in 2019-20 and after covid is 8.8% in 2020-21, 5.8% in 2021-22 </t>
  </si>
  <si>
    <t xml:space="preserve">Infaltion before Covid is 6.1% in 2018-19 ,3.7% in 2019-20 and after covid is 7.8% in 2020-21, 6.6% in 2021-22 </t>
  </si>
  <si>
    <t xml:space="preserve">Infaltion before Covid is 3.1% in 2018-19 ,5.3% in 2019-20 and after covid is 7.3% in 2020-21, 6.7% in 2021-22 </t>
  </si>
  <si>
    <t xml:space="preserve">Infaltion before Covid is -1.2% in 2018-19 ,8.4% in 2019-20 and after covid is 6.5% in 2020-21, 6.2% in 2021-22 </t>
  </si>
  <si>
    <t xml:space="preserve">Infaltion before Covid is 9.7% in 2018-19 ,3.9% in 2019-20 and after covid is 4.6% in 2020-21, 6.5% in 2021-22 </t>
  </si>
  <si>
    <t xml:space="preserve">Infaltion before Covid is 4.7% in 2018-19 ,4.2% in 2019-20 and after covid is 4.5% in 2020-21, 6.6% in 2021-22 </t>
  </si>
  <si>
    <t xml:space="preserve">Infaltion before Covid is 0.1% in 2018-19 ,8.4% in 2019-20 and after covid is 7.6% in 2020-21, 6.0% in 2021-22 </t>
  </si>
  <si>
    <t xml:space="preserve">Infaltion before Covid is 8.4% in 2018-19 ,3.8% in 2019-20 and after covid is 5.9% in 2020-21, 6.5% in 2021-22 </t>
  </si>
  <si>
    <t xml:space="preserve">Infaltion before Covid is 3.9% in 2018-19 ,4.6% in 2019-20 and after covid is 5.8% in 2020-21, 6.8% in 2021-22 </t>
  </si>
  <si>
    <t>Fluctuation of oil price in Urban Area</t>
  </si>
  <si>
    <t>Fluctuation of oil price in Rural+Urban Area</t>
  </si>
  <si>
    <t>Fluctuation of oil price in Rural Area</t>
  </si>
  <si>
    <t xml:space="preserve">Food Inflation </t>
  </si>
  <si>
    <t>PT &amp; I Inflation</t>
  </si>
  <si>
    <t>C &amp; FOOTWEAR Inflation</t>
  </si>
  <si>
    <t>Housing Infaltion</t>
  </si>
  <si>
    <t>Health infaltion</t>
  </si>
  <si>
    <t>DE inflation</t>
  </si>
  <si>
    <t>Misc Inflation</t>
  </si>
  <si>
    <t>Fuel &amp; l inflation</t>
  </si>
  <si>
    <t>Trans &amp; Comm Inflation</t>
  </si>
  <si>
    <t>Edu Inflation</t>
  </si>
  <si>
    <t>Daily Essesntials</t>
  </si>
  <si>
    <t>Categories</t>
  </si>
  <si>
    <t>Infation as comapred to Oil</t>
  </si>
  <si>
    <t>Trans and comm</t>
  </si>
  <si>
    <t>In Rural area Food and C&amp;footwear prices changes strongly.</t>
  </si>
  <si>
    <t>In Rural area Misc and Trans &amp; Comm prices changes strongly.</t>
  </si>
  <si>
    <t>In Rural area Misc and Trans &amp; Comm Inflation prices changes strongly.</t>
  </si>
  <si>
    <t>Fuel prices are increasing more than Others(General Index)</t>
  </si>
  <si>
    <t>Highest food inflation month is JUNE</t>
  </si>
  <si>
    <t>Lowest food inflation month is FEB</t>
  </si>
  <si>
    <t>Lowest food inflation month is DEC</t>
  </si>
  <si>
    <t>RURAL</t>
  </si>
  <si>
    <t>RURAL+URBAN</t>
  </si>
  <si>
    <t>Conntribution of Food Category is Higher in All 3 Areas</t>
  </si>
  <si>
    <t>Biggest Individual Contrbutor in Rural Area is Spices.</t>
  </si>
  <si>
    <r>
      <rPr>
        <b/>
        <sz val="11"/>
        <color theme="1"/>
        <rFont val="Aptos Narrow"/>
        <family val="2"/>
        <scheme val="minor"/>
      </rPr>
      <t>Biggest Individual Contrbutor in Rural+Urban Area is</t>
    </r>
    <r>
      <rPr>
        <sz val="11"/>
        <color theme="1"/>
        <rFont val="Aptos Narrow"/>
        <family val="2"/>
        <scheme val="minor"/>
      </rPr>
      <t xml:space="preserve"> Spices.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</si>
</sst>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%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0"/>
      <name val="Arial Black"/>
      <family val="2"/>
    </font>
    <font>
      <b/>
      <u/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b/>
      <sz val="11"/>
      <color theme="1"/>
      <name val="Bahnschrift"/>
      <family val="2"/>
    </font>
    <font>
      <sz val="12"/>
      <color rgb="FF040C28"/>
      <name val="Arial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16" fillId="0" borderId="0" xfId="0" applyFont="1"/>
    <xf numFmtId="164" fontId="0" fillId="0" borderId="0" xfId="0" applyNumberFormat="1"/>
    <xf numFmtId="165" fontId="0" fillId="33" borderId="0" xfId="0" applyNumberFormat="1" applyFill="1"/>
    <xf numFmtId="0" fontId="18" fillId="0" borderId="0" xfId="0" applyFont="1"/>
    <xf numFmtId="0" fontId="0" fillId="0" borderId="0" xfId="0" applyAlignment="1">
      <alignment horizontal="center"/>
    </xf>
    <xf numFmtId="165" fontId="0" fillId="0" borderId="0" xfId="0" applyNumberFormat="1"/>
    <xf numFmtId="0" fontId="18" fillId="0" borderId="12" xfId="0" applyFont="1" applyBorder="1"/>
    <xf numFmtId="0" fontId="18" fillId="0" borderId="15" xfId="0" applyFont="1" applyBorder="1"/>
    <xf numFmtId="0" fontId="18" fillId="0" borderId="11" xfId="0" applyFont="1" applyBorder="1"/>
    <xf numFmtId="0" fontId="0" fillId="0" borderId="13" xfId="0" applyBorder="1" applyAlignment="1">
      <alignment horizontal="center"/>
    </xf>
    <xf numFmtId="165" fontId="0" fillId="0" borderId="14" xfId="0" applyNumberFormat="1" applyBorder="1"/>
    <xf numFmtId="0" fontId="0" fillId="0" borderId="10" xfId="0" applyBorder="1" applyAlignment="1">
      <alignment horizontal="center"/>
    </xf>
    <xf numFmtId="165" fontId="0" fillId="0" borderId="16" xfId="0" applyNumberFormat="1" applyBorder="1"/>
    <xf numFmtId="0" fontId="0" fillId="34" borderId="0" xfId="0" applyFill="1"/>
    <xf numFmtId="0" fontId="19" fillId="0" borderId="0" xfId="0" applyFont="1"/>
    <xf numFmtId="0" fontId="16" fillId="0" borderId="0" xfId="0" applyFont="1" applyAlignment="1">
      <alignment horizontal="right"/>
    </xf>
    <xf numFmtId="0" fontId="21" fillId="0" borderId="0" xfId="0" applyFont="1"/>
    <xf numFmtId="0" fontId="16" fillId="34" borderId="0" xfId="0" applyFont="1" applyFill="1"/>
    <xf numFmtId="0" fontId="22" fillId="0" borderId="0" xfId="0" applyFont="1"/>
    <xf numFmtId="9" fontId="0" fillId="0" borderId="0" xfId="42" applyFont="1"/>
    <xf numFmtId="10" fontId="0" fillId="0" borderId="0" xfId="42" applyNumberFormat="1" applyFont="1"/>
    <xf numFmtId="0" fontId="0" fillId="0" borderId="16" xfId="0" applyBorder="1" applyAlignment="1">
      <alignment horizontal="center"/>
    </xf>
    <xf numFmtId="0" fontId="23" fillId="0" borderId="0" xfId="0" applyFont="1"/>
    <xf numFmtId="0" fontId="23" fillId="0" borderId="14" xfId="0" applyFont="1" applyBorder="1"/>
    <xf numFmtId="0" fontId="0" fillId="0" borderId="17" xfId="0" applyBorder="1" applyAlignment="1">
      <alignment horizontal="center"/>
    </xf>
    <xf numFmtId="165" fontId="0" fillId="0" borderId="18" xfId="0" applyNumberFormat="1" applyBorder="1"/>
    <xf numFmtId="165" fontId="0" fillId="0" borderId="19" xfId="0" applyNumberFormat="1" applyBorder="1"/>
    <xf numFmtId="0" fontId="24" fillId="0" borderId="0" xfId="0" applyFont="1" applyAlignment="1">
      <alignment vertical="center"/>
    </xf>
    <xf numFmtId="0" fontId="25" fillId="36" borderId="0" xfId="0" applyFont="1" applyFill="1" applyAlignment="1">
      <alignment vertical="center"/>
    </xf>
    <xf numFmtId="0" fontId="17" fillId="36" borderId="0" xfId="0" applyFont="1" applyFill="1"/>
    <xf numFmtId="0" fontId="26" fillId="36" borderId="0" xfId="0" applyFont="1" applyFill="1" applyAlignment="1">
      <alignment vertical="center"/>
    </xf>
    <xf numFmtId="0" fontId="27" fillId="0" borderId="0" xfId="0" applyFont="1" applyAlignment="1">
      <alignment horizontal="right"/>
    </xf>
    <xf numFmtId="0" fontId="0" fillId="37" borderId="0" xfId="0" applyFill="1"/>
    <xf numFmtId="0" fontId="16" fillId="37" borderId="0" xfId="0" applyFont="1" applyFill="1"/>
    <xf numFmtId="0" fontId="0" fillId="38" borderId="0" xfId="0" applyFill="1"/>
    <xf numFmtId="0" fontId="16" fillId="38" borderId="0" xfId="0" applyFont="1" applyFill="1"/>
    <xf numFmtId="0" fontId="0" fillId="39" borderId="0" xfId="0" applyFill="1"/>
    <xf numFmtId="0" fontId="16" fillId="0" borderId="0" xfId="0" applyFont="1" applyAlignment="1">
      <alignment horizontal="center"/>
    </xf>
    <xf numFmtId="10" fontId="0" fillId="0" borderId="0" xfId="0" applyNumberFormat="1"/>
    <xf numFmtId="0" fontId="0" fillId="40" borderId="0" xfId="0" applyFill="1"/>
    <xf numFmtId="166" fontId="0" fillId="0" borderId="0" xfId="42" applyNumberFormat="1" applyFont="1"/>
    <xf numFmtId="10" fontId="0" fillId="0" borderId="0" xfId="42" applyNumberFormat="1" applyFont="1" applyFill="1"/>
    <xf numFmtId="165" fontId="0" fillId="41" borderId="0" xfId="0" applyNumberFormat="1" applyFill="1"/>
    <xf numFmtId="0" fontId="0" fillId="0" borderId="0" xfId="0" applyAlignment="1">
      <alignment wrapText="1"/>
    </xf>
    <xf numFmtId="10" fontId="16" fillId="0" borderId="0" xfId="42" applyNumberFormat="1" applyFont="1"/>
    <xf numFmtId="0" fontId="20" fillId="35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'Problem 1'!$I$15</c:f>
              <c:strCache>
                <c:ptCount val="1"/>
                <c:pt idx="0">
                  <c:v>RURAL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37-4093-AF0D-ADC8E698F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37-4093-AF0D-ADC8E698FE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37-4093-AF0D-ADC8E698FE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37-4093-AF0D-ADC8E698FE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37-4093-AF0D-ADC8E698FE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37-4093-AF0D-ADC8E698FE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B37-4093-AF0D-ADC8E698FE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37-4093-AF0D-ADC8E698FE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 1'!$H$16:$H$23</c:f>
              <c:strCache>
                <c:ptCount val="8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DAILY ESSENTIALS</c:v>
                </c:pt>
                <c:pt idx="5">
                  <c:v>TOXICANTS</c:v>
                </c:pt>
                <c:pt idx="6">
                  <c:v>EDUCATION</c:v>
                </c:pt>
                <c:pt idx="7">
                  <c:v>MISCELLANEOUS</c:v>
                </c:pt>
              </c:strCache>
            </c:strRef>
          </c:cat>
          <c:val>
            <c:numRef>
              <c:f>'Problem 1'!$I$16:$I$23</c:f>
              <c:numCache>
                <c:formatCode>0.0</c:formatCode>
                <c:ptCount val="8"/>
                <c:pt idx="0">
                  <c:v>2290.7000000000007</c:v>
                </c:pt>
                <c:pt idx="1">
                  <c:v>569.90000000000009</c:v>
                </c:pt>
                <c:pt idx="2">
                  <c:v>175.4</c:v>
                </c:pt>
                <c:pt idx="3">
                  <c:v>187.8</c:v>
                </c:pt>
                <c:pt idx="4">
                  <c:v>890.69999999999993</c:v>
                </c:pt>
                <c:pt idx="5">
                  <c:v>199.9</c:v>
                </c:pt>
                <c:pt idx="6">
                  <c:v>180.3</c:v>
                </c:pt>
                <c:pt idx="7">
                  <c:v>179.5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A-4D6E-8544-D5C6B8308D2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'Problem 1'!$J$15</c:f>
              <c:strCache>
                <c:ptCount val="1"/>
                <c:pt idx="0">
                  <c:v>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EC-45FD-B0F5-2B73CD7010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EC-45FD-B0F5-2B73CD7010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EC-45FD-B0F5-2B73CD7010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EC-45FD-B0F5-2B73CD7010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3EC-45FD-B0F5-2B73CD7010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3EC-45FD-B0F5-2B73CD7010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3EC-45FD-B0F5-2B73CD7010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3EC-45FD-B0F5-2B73CD7010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 1'!$H$16:$H$23</c:f>
              <c:strCache>
                <c:ptCount val="8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DAILY ESSENTIALS</c:v>
                </c:pt>
                <c:pt idx="5">
                  <c:v>TOXICANTS</c:v>
                </c:pt>
                <c:pt idx="6">
                  <c:v>EDUCATION</c:v>
                </c:pt>
                <c:pt idx="7">
                  <c:v>MISCELLANEOUS</c:v>
                </c:pt>
              </c:strCache>
            </c:strRef>
          </c:cat>
          <c:val>
            <c:numRef>
              <c:f>'Problem 1'!$J$16:$J$23</c:f>
              <c:numCache>
                <c:formatCode>0.0</c:formatCode>
                <c:ptCount val="8"/>
                <c:pt idx="0">
                  <c:v>2335.1</c:v>
                </c:pt>
                <c:pt idx="1">
                  <c:v>528.70000000000005</c:v>
                </c:pt>
                <c:pt idx="2">
                  <c:v>175.6</c:v>
                </c:pt>
                <c:pt idx="3">
                  <c:v>182.2</c:v>
                </c:pt>
                <c:pt idx="4">
                  <c:v>868.69999999999993</c:v>
                </c:pt>
                <c:pt idx="5">
                  <c:v>204.2</c:v>
                </c:pt>
                <c:pt idx="6">
                  <c:v>174.8</c:v>
                </c:pt>
                <c:pt idx="7">
                  <c:v>171.6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3EC-45FD-B0F5-2B73CD70103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'Problem 1'!$K$15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E0-4526-8F9B-66412D0E12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E0-4526-8F9B-66412D0E12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E0-4526-8F9B-66412D0E12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E0-4526-8F9B-66412D0E12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E0-4526-8F9B-66412D0E12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AE0-4526-8F9B-66412D0E12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AE0-4526-8F9B-66412D0E12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AE0-4526-8F9B-66412D0E12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 1'!$H$16:$H$23</c:f>
              <c:strCache>
                <c:ptCount val="8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DAILY ESSENTIALS</c:v>
                </c:pt>
                <c:pt idx="5">
                  <c:v>TOXICANTS</c:v>
                </c:pt>
                <c:pt idx="6">
                  <c:v>EDUCATION</c:v>
                </c:pt>
                <c:pt idx="7">
                  <c:v>MISCELLANEOUS</c:v>
                </c:pt>
              </c:strCache>
            </c:strRef>
          </c:cat>
          <c:val>
            <c:numRef>
              <c:f>'Problem 1'!$K$16:$K$23</c:f>
              <c:numCache>
                <c:formatCode>0.0</c:formatCode>
                <c:ptCount val="8"/>
                <c:pt idx="0">
                  <c:v>2306.9</c:v>
                </c:pt>
                <c:pt idx="1">
                  <c:v>553.20000000000005</c:v>
                </c:pt>
                <c:pt idx="2">
                  <c:v>175.6</c:v>
                </c:pt>
                <c:pt idx="3">
                  <c:v>185.7</c:v>
                </c:pt>
                <c:pt idx="4">
                  <c:v>879.2</c:v>
                </c:pt>
                <c:pt idx="5">
                  <c:v>201</c:v>
                </c:pt>
                <c:pt idx="6">
                  <c:v>177.1</c:v>
                </c:pt>
                <c:pt idx="7">
                  <c:v>175.7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AE0-4526-8F9B-66412D0E124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 2'!$I$1</c:f>
              <c:strCache>
                <c:ptCount val="1"/>
                <c:pt idx="0">
                  <c:v>YoY Inflation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'Problem 2'!$G$2:$G$9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'Problem 2'!$I$2:$I$9</c:f>
              <c:numCache>
                <c:formatCode>0%</c:formatCode>
                <c:ptCount val="8"/>
                <c:pt idx="1">
                  <c:v>1.98624904507257E-2</c:v>
                </c:pt>
                <c:pt idx="2">
                  <c:v>3.7453183520599252E-2</c:v>
                </c:pt>
                <c:pt idx="3">
                  <c:v>4.1023826714801516E-2</c:v>
                </c:pt>
                <c:pt idx="4">
                  <c:v>6.1613879144247062E-2</c:v>
                </c:pt>
                <c:pt idx="5">
                  <c:v>5.4832335285004523E-2</c:v>
                </c:pt>
                <c:pt idx="6">
                  <c:v>6.6219354838709471E-2</c:v>
                </c:pt>
                <c:pt idx="7">
                  <c:v>3.1774615161196791E-2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A-4478-9C59-EEA14E1AA2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56277744"/>
        <c:axId val="2056280624"/>
      </c:lineChart>
      <c:catAx>
        <c:axId val="205627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80624"/>
        <c:crosses val="autoZero"/>
        <c:auto val="1"/>
        <c:lblAlgn val="ctr"/>
        <c:lblOffset val="100"/>
        <c:noMultiLvlLbl val="0"/>
      </c:catAx>
      <c:valAx>
        <c:axId val="205628062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777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 Infaltion Rural</a:t>
            </a:r>
          </a:p>
        </c:rich>
      </c:tx>
      <c:layout>
        <c:manualLayout>
          <c:xMode val="edge"/>
          <c:yMode val="edge"/>
          <c:x val="0.36117000655053944"/>
          <c:y val="3.003003003003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'Prb 3 Question 1'!$E$2:$E$3</c:f>
              <c:strCache>
                <c:ptCount val="2"/>
                <c:pt idx="0">
                  <c:v>MoM Infaltion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66-43ED-A789-1C138886A5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'Prb 3 Question 1'!$C$4:$C$15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'Prb 3 Question 1'!$E$4:$E$15</c:f>
              <c:numCache>
                <c:formatCode>0.00%</c:formatCode>
                <c:ptCount val="12"/>
                <c:pt idx="0">
                  <c:v>9.6551104724268387E-3</c:v>
                </c:pt>
                <c:pt idx="1">
                  <c:v>1.868078103455876E-3</c:v>
                </c:pt>
                <c:pt idx="2">
                  <c:v>1.465038845726811E-3</c:v>
                </c:pt>
                <c:pt idx="3">
                  <c:v>5.3196205337354878E-3</c:v>
                </c:pt>
                <c:pt idx="4">
                  <c:v>7.3639650762852681E-3</c:v>
                </c:pt>
                <c:pt idx="5">
                  <c:v>1.4007441453272001E-3</c:v>
                </c:pt>
                <c:pt idx="6">
                  <c:v>-4.6334746688814939E-3</c:v>
                </c:pt>
                <c:pt idx="7">
                  <c:v>2.6788459004877469E-3</c:v>
                </c:pt>
                <c:pt idx="8">
                  <c:v>-7.6646811492644754E-3</c:v>
                </c:pt>
                <c:pt idx="9">
                  <c:v>4.4136469965305305E-5</c:v>
                </c:pt>
                <c:pt idx="10">
                  <c:v>3.7072998499424895E-3</c:v>
                </c:pt>
                <c:pt idx="11">
                  <c:v>7.2552985665292396E-3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6-43ED-A789-1C138886A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489552"/>
        <c:axId val="769490032"/>
      </c:barChart>
      <c:catAx>
        <c:axId val="76948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490032"/>
        <c:crosses val="autoZero"/>
        <c:auto val="1"/>
        <c:lblAlgn val="ctr"/>
        <c:lblOffset val="100"/>
        <c:noMultiLvlLbl val="0"/>
      </c:catAx>
      <c:valAx>
        <c:axId val="7694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48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MoM Infaltion of Rural+Urban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'Prb 3 Question 1'!$E$18:$E$19</c:f>
              <c:strCache>
                <c:ptCount val="2"/>
                <c:pt idx="0">
                  <c:v>MoM Infaltion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9.4386487829110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01-4959-8DD1-D234DC8BA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'Prb 3 Question 1'!$C$20:$C$31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'Prb 3 Question 1'!$E$20:$E$31</c:f>
              <c:numCache>
                <c:formatCode>0.00%</c:formatCode>
                <c:ptCount val="12"/>
                <c:pt idx="0">
                  <c:v>1.0272901871454425E-2</c:v>
                </c:pt>
                <c:pt idx="1">
                  <c:v>1.9452672531943328E-3</c:v>
                </c:pt>
                <c:pt idx="2">
                  <c:v>1.2796187618585007E-3</c:v>
                </c:pt>
                <c:pt idx="3">
                  <c:v>5.1560021152829514E-3</c:v>
                </c:pt>
                <c:pt idx="4">
                  <c:v>7.1901442413082701E-3</c:v>
                </c:pt>
                <c:pt idx="5">
                  <c:v>-2.176468027685168E-4</c:v>
                </c:pt>
                <c:pt idx="6">
                  <c:v>-5.8342041100662182E-3</c:v>
                </c:pt>
                <c:pt idx="7">
                  <c:v>4.0728737847069707E-3</c:v>
                </c:pt>
                <c:pt idx="8">
                  <c:v>-5.9318707201117182E-3</c:v>
                </c:pt>
                <c:pt idx="9">
                  <c:v>4.3876968978992914E-5</c:v>
                </c:pt>
                <c:pt idx="10">
                  <c:v>4.5630045630047902E-3</c:v>
                </c:pt>
                <c:pt idx="11">
                  <c:v>7.555904961565281E-3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1-4959-8DD1-D234DC8BA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72064"/>
        <c:axId val="199871104"/>
      </c:barChart>
      <c:catAx>
        <c:axId val="19987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71104"/>
        <c:crosses val="autoZero"/>
        <c:auto val="1"/>
        <c:lblAlgn val="ctr"/>
        <c:lblOffset val="100"/>
        <c:noMultiLvlLbl val="0"/>
      </c:catAx>
      <c:valAx>
        <c:axId val="1998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7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'Prb 3 Question 1'!$E$35:$E$36</c:f>
              <c:strCache>
                <c:ptCount val="2"/>
                <c:pt idx="0">
                  <c:v>MoM Infaltion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8.4602368866328256E-3"/>
                  <c:y val="0.189229293936511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C6-4A8D-92A2-17F3FAE146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'Prb 3 Question 1'!$C$37:$C$48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'Prb 3 Question 1'!$E$37:$E$48</c:f>
              <c:numCache>
                <c:formatCode>0.00%</c:formatCode>
                <c:ptCount val="12"/>
                <c:pt idx="0">
                  <c:v>1.1183803377243156E-2</c:v>
                </c:pt>
                <c:pt idx="1">
                  <c:v>1.7923497267760408E-3</c:v>
                </c:pt>
                <c:pt idx="2">
                  <c:v>9.1639029499028556E-4</c:v>
                </c:pt>
                <c:pt idx="3">
                  <c:v>5.5369054366309033E-3</c:v>
                </c:pt>
                <c:pt idx="4">
                  <c:v>6.8938605619146371E-3</c:v>
                </c:pt>
                <c:pt idx="5">
                  <c:v>-3.4017999397149157E-3</c:v>
                </c:pt>
                <c:pt idx="6">
                  <c:v>-8.0366401659179628E-3</c:v>
                </c:pt>
                <c:pt idx="7">
                  <c:v>6.2723233731164256E-3</c:v>
                </c:pt>
                <c:pt idx="8">
                  <c:v>-3.0300406891180342E-3</c:v>
                </c:pt>
                <c:pt idx="9">
                  <c:v>8.6835706842833875E-5</c:v>
                </c:pt>
                <c:pt idx="10">
                  <c:v>6.2082139446035965E-3</c:v>
                </c:pt>
                <c:pt idx="11">
                  <c:v>7.5074427233895206E-3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6-4A8D-92A2-17F3FAE14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768928"/>
        <c:axId val="817761728"/>
      </c:barChart>
      <c:catAx>
        <c:axId val="81776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61728"/>
        <c:crosses val="autoZero"/>
        <c:auto val="1"/>
        <c:lblAlgn val="ctr"/>
        <c:lblOffset val="100"/>
        <c:noMultiLvlLbl val="0"/>
      </c:catAx>
      <c:valAx>
        <c:axId val="81776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6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u="sng">
                <a:solidFill>
                  <a:sysClr val="windowText" lastClr="000000"/>
                </a:solidFill>
              </a:rPr>
              <a:t>Rural Absolute change in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'Prb 3 Question 2'!$S$11</c:f>
              <c:strCache>
                <c:ptCount val="1"/>
                <c:pt idx="0">
                  <c:v>Absolute change in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0.1193397288472118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A9-4EC7-94F6-D2EF251270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'Prb 3 Question 2'!$R$12:$R$24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'Prb 3 Question 2'!$S$12:$S$24</c:f>
              <c:numCache>
                <c:formatCode>0.00%</c:formatCode>
                <c:ptCount val="13"/>
                <c:pt idx="0">
                  <c:v>0.12601803352788893</c:v>
                </c:pt>
                <c:pt idx="1">
                  <c:v>-1.3415927239515419E-2</c:v>
                </c:pt>
                <c:pt idx="2">
                  <c:v>6.9027470519994569E-2</c:v>
                </c:pt>
                <c:pt idx="3">
                  <c:v>8.7604842900340665E-2</c:v>
                </c:pt>
                <c:pt idx="4">
                  <c:v>-0.18860073732493318</c:v>
                </c:pt>
                <c:pt idx="5">
                  <c:v>1.0550729170309782E-2</c:v>
                </c:pt>
                <c:pt idx="6">
                  <c:v>-5.9844646584606448E-2</c:v>
                </c:pt>
                <c:pt idx="7">
                  <c:v>5.8650424856599249E-2</c:v>
                </c:pt>
                <c:pt idx="8">
                  <c:v>2.5192886014239267E-2</c:v>
                </c:pt>
                <c:pt idx="9">
                  <c:v>0.17060794533039508</c:v>
                </c:pt>
                <c:pt idx="10">
                  <c:v>3.131543042249578E-2</c:v>
                </c:pt>
                <c:pt idx="11">
                  <c:v>5.7787078677428043E-2</c:v>
                </c:pt>
                <c:pt idx="12">
                  <c:v>3.48329506981448E-2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9-4EC7-94F6-D2EF25127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468911"/>
        <c:axId val="220469391"/>
      </c:barChart>
      <c:catAx>
        <c:axId val="22046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69391"/>
        <c:crosses val="autoZero"/>
        <c:auto val="1"/>
        <c:lblAlgn val="ctr"/>
        <c:lblOffset val="100"/>
        <c:noMultiLvlLbl val="0"/>
      </c:catAx>
      <c:valAx>
        <c:axId val="22046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6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u="sng">
                <a:solidFill>
                  <a:sysClr val="windowText" lastClr="000000"/>
                </a:solidFill>
              </a:rPr>
              <a:t>Rural+Urban Absolute change in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'Prb 3 Question 2'!$S$37</c:f>
              <c:strCache>
                <c:ptCount val="1"/>
                <c:pt idx="0">
                  <c:v>Absolute change in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0.11938079617807913"/>
                  <c:y val="3.58962096429077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44-40DB-8BAC-C403852EB9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'Prb 3 Question 2'!$R$38:$R$50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'Prb 3 Question 2'!$S$38:$S$50</c:f>
              <c:numCache>
                <c:formatCode>0.00%</c:formatCode>
                <c:ptCount val="13"/>
                <c:pt idx="0">
                  <c:v>0.12085220029035372</c:v>
                </c:pt>
                <c:pt idx="1">
                  <c:v>-1.0960038075584964E-2</c:v>
                </c:pt>
                <c:pt idx="2">
                  <c:v>7.5858020928857975E-2</c:v>
                </c:pt>
                <c:pt idx="3">
                  <c:v>8.5207275393248891E-2</c:v>
                </c:pt>
                <c:pt idx="4">
                  <c:v>-0.17196654140370343</c:v>
                </c:pt>
                <c:pt idx="5">
                  <c:v>1.212892331833881E-2</c:v>
                </c:pt>
                <c:pt idx="6">
                  <c:v>-6.6466572857876549E-2</c:v>
                </c:pt>
                <c:pt idx="7">
                  <c:v>6.4492479670082731E-2</c:v>
                </c:pt>
                <c:pt idx="8">
                  <c:v>2.4990010110495772E-2</c:v>
                </c:pt>
                <c:pt idx="9">
                  <c:v>0.16602381892132637</c:v>
                </c:pt>
                <c:pt idx="10">
                  <c:v>3.7075142679248593E-2</c:v>
                </c:pt>
                <c:pt idx="11">
                  <c:v>6.2333124010194668E-2</c:v>
                </c:pt>
                <c:pt idx="12">
                  <c:v>3.3242003192595196E-2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4-40DB-8BAC-C403852EB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6190191"/>
        <c:axId val="296196911"/>
      </c:barChart>
      <c:catAx>
        <c:axId val="29619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96911"/>
        <c:crosses val="autoZero"/>
        <c:auto val="1"/>
        <c:lblAlgn val="ctr"/>
        <c:lblOffset val="100"/>
        <c:noMultiLvlLbl val="0"/>
      </c:catAx>
      <c:valAx>
        <c:axId val="29619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9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u="sng">
                <a:solidFill>
                  <a:sysClr val="windowText" lastClr="000000"/>
                </a:solidFill>
              </a:rPr>
              <a:t>Urban Absolute change in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'Prb 3 Question 2'!$S$73</c:f>
              <c:strCache>
                <c:ptCount val="1"/>
                <c:pt idx="0">
                  <c:v>Absolute change in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0.11305395771639543"/>
                  <c:y val="-1.284131909836185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C9-4A9D-B8F2-148B14C1F2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'Prb 3 Question 2'!$R$74:$R$86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'Prb 3 Question 2'!$S$74:$S$86</c:f>
              <c:numCache>
                <c:formatCode>0.00%</c:formatCode>
                <c:ptCount val="13"/>
                <c:pt idx="0">
                  <c:v>0.10948121428393404</c:v>
                </c:pt>
                <c:pt idx="1">
                  <c:v>-6.639897831265909E-3</c:v>
                </c:pt>
                <c:pt idx="2">
                  <c:v>8.5789646476304438E-2</c:v>
                </c:pt>
                <c:pt idx="3">
                  <c:v>8.1608183959908737E-2</c:v>
                </c:pt>
                <c:pt idx="4">
                  <c:v>-0.14039869277175199</c:v>
                </c:pt>
                <c:pt idx="5">
                  <c:v>1.3452894126808595E-2</c:v>
                </c:pt>
                <c:pt idx="6">
                  <c:v>-7.5795670153252434E-2</c:v>
                </c:pt>
                <c:pt idx="7">
                  <c:v>7.5611128143722547E-2</c:v>
                </c:pt>
                <c:pt idx="8">
                  <c:v>2.4616706238015207E-2</c:v>
                </c:pt>
                <c:pt idx="9">
                  <c:v>0.1566574174276722</c:v>
                </c:pt>
                <c:pt idx="10">
                  <c:v>4.5734300024166549E-2</c:v>
                </c:pt>
                <c:pt idx="11">
                  <c:v>6.7173674108132769E-2</c:v>
                </c:pt>
                <c:pt idx="12">
                  <c:v>3.1440132200929186E-2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9-4A9D-B8F2-148B14C1F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1232319"/>
        <c:axId val="254283551"/>
      </c:barChart>
      <c:catAx>
        <c:axId val="209123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83551"/>
        <c:crosses val="autoZero"/>
        <c:auto val="1"/>
        <c:lblAlgn val="ctr"/>
        <c:lblOffset val="100"/>
        <c:noMultiLvlLbl val="0"/>
      </c:catAx>
      <c:valAx>
        <c:axId val="2542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23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Rural YoY inflation Before and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'4.1Rular '!$K$6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'4.1Rular '!$J$7:$J$10</c:f>
              <c:strCache>
                <c:ptCount val="4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</c:strCache>
            </c:strRef>
          </c:cat>
          <c:val>
            <c:numRef>
              <c:f>'4.1Rular '!$K$7:$K$10</c:f>
              <c:numCache>
                <c:formatCode>0.0%</c:formatCode>
                <c:ptCount val="4"/>
                <c:pt idx="0">
                  <c:v>-1.2457912457912182E-2</c:v>
                </c:pt>
                <c:pt idx="1">
                  <c:v>8.4374290256642864E-2</c:v>
                </c:pt>
                <c:pt idx="2">
                  <c:v>6.4533649335901111E-2</c:v>
                </c:pt>
                <c:pt idx="3">
                  <c:v>6.1558967270573084E-2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6-469C-B8E9-8C38E3DA7A64}"/>
            </c:ext>
          </c:extLst>
        </c:ser>
        <c:ser>
          <c:idx val="1"/>
          <c:order val="1"/>
          <c:tx>
            <c:strRef>
              <c:f>'4.1Rular '!$L$6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'4.1Rular '!$J$7:$J$10</c:f>
              <c:strCache>
                <c:ptCount val="4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</c:strCache>
            </c:strRef>
          </c:cat>
          <c:val>
            <c:numRef>
              <c:f>'4.1Rular '!$L$7:$L$10</c:f>
              <c:numCache>
                <c:formatCode>0.0%</c:formatCode>
                <c:ptCount val="4"/>
                <c:pt idx="0">
                  <c:v>9.6561814191660697E-2</c:v>
                </c:pt>
                <c:pt idx="1">
                  <c:v>3.8563829787233925E-2</c:v>
                </c:pt>
                <c:pt idx="2">
                  <c:v>4.6256847230675725E-2</c:v>
                </c:pt>
                <c:pt idx="3">
                  <c:v>6.5006075334143487E-2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6-469C-B8E9-8C38E3DA7A64}"/>
            </c:ext>
          </c:extLst>
        </c:ser>
        <c:ser>
          <c:idx val="2"/>
          <c:order val="2"/>
          <c:tx>
            <c:strRef>
              <c:f>'4.1Rular '!$M$6</c:f>
              <c:strCache>
                <c:ptCount val="1"/>
                <c:pt idx="0">
                  <c:v>DAILY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'4.1Rular '!$J$7:$J$10</c:f>
              <c:strCache>
                <c:ptCount val="4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</c:strCache>
            </c:strRef>
          </c:cat>
          <c:val>
            <c:numRef>
              <c:f>'4.1Rular '!$M$7:$M$10</c:f>
              <c:numCache>
                <c:formatCode>0.0%</c:formatCode>
                <c:ptCount val="4"/>
                <c:pt idx="0">
                  <c:v>4.6760982874162117E-2</c:v>
                </c:pt>
                <c:pt idx="1">
                  <c:v>4.2323533588978897E-2</c:v>
                </c:pt>
                <c:pt idx="2">
                  <c:v>4.4841886988076819E-2</c:v>
                </c:pt>
                <c:pt idx="3">
                  <c:v>6.6364812419145935E-2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36-469C-B8E9-8C38E3DA7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1725616"/>
        <c:axId val="231730416"/>
      </c:barChart>
      <c:catAx>
        <c:axId val="23172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30416"/>
        <c:crosses val="autoZero"/>
        <c:auto val="1"/>
        <c:lblAlgn val="ctr"/>
        <c:lblOffset val="100"/>
        <c:noMultiLvlLbl val="0"/>
      </c:catAx>
      <c:valAx>
        <c:axId val="23173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Rural+Urban YoY inflation Before and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'4.2Rural+Urabn'!$I$6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'4.2Rural+Urabn'!$H$7:$H$10</c:f>
              <c:strCache>
                <c:ptCount val="4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</c:strCache>
            </c:strRef>
          </c:cat>
          <c:val>
            <c:numRef>
              <c:f>'4.2Rural+Urabn'!$I$7:$I$10</c:f>
              <c:numCache>
                <c:formatCode>0.0%</c:formatCode>
                <c:ptCount val="4"/>
                <c:pt idx="0">
                  <c:v>6.2642369020494341E-4</c:v>
                </c:pt>
                <c:pt idx="1">
                  <c:v>8.4349651143002899E-2</c:v>
                </c:pt>
                <c:pt idx="2">
                  <c:v>7.5920649994724171E-2</c:v>
                </c:pt>
                <c:pt idx="3">
                  <c:v>5.9723448072962808E-2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6-461E-94E7-4DC5CA6376FD}"/>
            </c:ext>
          </c:extLst>
        </c:ser>
        <c:ser>
          <c:idx val="1"/>
          <c:order val="1"/>
          <c:tx>
            <c:strRef>
              <c:f>'4.2Rural+Urabn'!$J$6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'4.2Rural+Urabn'!$H$7:$H$10</c:f>
              <c:strCache>
                <c:ptCount val="4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</c:strCache>
            </c:strRef>
          </c:cat>
          <c:val>
            <c:numRef>
              <c:f>'4.2Rural+Urabn'!$J$7:$J$10</c:f>
              <c:numCache>
                <c:formatCode>0.0%</c:formatCode>
                <c:ptCount val="4"/>
                <c:pt idx="0">
                  <c:v>8.4139985107967108E-2</c:v>
                </c:pt>
                <c:pt idx="1">
                  <c:v>3.761969904240766E-2</c:v>
                </c:pt>
                <c:pt idx="2">
                  <c:v>5.9093893630991462E-2</c:v>
                </c:pt>
                <c:pt idx="3">
                  <c:v>6.4935064935064943E-2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6-461E-94E7-4DC5CA6376FD}"/>
            </c:ext>
          </c:extLst>
        </c:ser>
        <c:ser>
          <c:idx val="2"/>
          <c:order val="2"/>
          <c:tx>
            <c:strRef>
              <c:f>'4.2Rural+Urabn'!$K$6</c:f>
              <c:strCache>
                <c:ptCount val="1"/>
                <c:pt idx="0">
                  <c:v>DAILY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'4.2Rural+Urabn'!$H$7:$H$10</c:f>
              <c:strCache>
                <c:ptCount val="4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</c:strCache>
            </c:strRef>
          </c:cat>
          <c:val>
            <c:numRef>
              <c:f>'4.2Rural+Urabn'!$K$7:$K$10</c:f>
              <c:numCache>
                <c:formatCode>0.0%</c:formatCode>
                <c:ptCount val="4"/>
                <c:pt idx="0">
                  <c:v>3.9128433328218463E-2</c:v>
                </c:pt>
                <c:pt idx="1">
                  <c:v>4.608362779740887E-2</c:v>
                </c:pt>
                <c:pt idx="2">
                  <c:v>5.8255146338047833E-2</c:v>
                </c:pt>
                <c:pt idx="3">
                  <c:v>6.7957329118925477E-2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16-461E-94E7-4DC5CA637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43931136"/>
        <c:axId val="1943931616"/>
      </c:barChart>
      <c:catAx>
        <c:axId val="194393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31616"/>
        <c:crosses val="autoZero"/>
        <c:auto val="1"/>
        <c:lblAlgn val="ctr"/>
        <c:lblOffset val="100"/>
        <c:noMultiLvlLbl val="0"/>
      </c:catAx>
      <c:valAx>
        <c:axId val="19439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Urban YoY inflation Before and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'4.3Urban'!$J$7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'4.3Urban'!$I$8:$I$11</c:f>
              <c:strCache>
                <c:ptCount val="4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</c:strCache>
            </c:strRef>
          </c:cat>
          <c:val>
            <c:numRef>
              <c:f>'4.3Urban'!$J$8:$J$11</c:f>
              <c:numCache>
                <c:formatCode>0.0%</c:formatCode>
                <c:ptCount val="4"/>
                <c:pt idx="0">
                  <c:v>2.267560477994774E-2</c:v>
                </c:pt>
                <c:pt idx="1">
                  <c:v>8.3804569102012949E-2</c:v>
                </c:pt>
                <c:pt idx="2">
                  <c:v>8.8227548064261266E-2</c:v>
                </c:pt>
                <c:pt idx="3">
                  <c:v>5.7641075320901181E-2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A-4194-89E3-4469E824E13A}"/>
            </c:ext>
          </c:extLst>
        </c:ser>
        <c:ser>
          <c:idx val="1"/>
          <c:order val="1"/>
          <c:tx>
            <c:strRef>
              <c:f>'4.3Urban'!$K$7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'4.3Urban'!$I$8:$I$11</c:f>
              <c:strCache>
                <c:ptCount val="4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</c:strCache>
            </c:strRef>
          </c:cat>
          <c:val>
            <c:numRef>
              <c:f>'4.3Urban'!$K$8:$K$11</c:f>
              <c:numCache>
                <c:formatCode>0.0%</c:formatCode>
                <c:ptCount val="4"/>
                <c:pt idx="0">
                  <c:v>6.1302681992337162E-2</c:v>
                </c:pt>
                <c:pt idx="1">
                  <c:v>3.7356321839080588E-2</c:v>
                </c:pt>
                <c:pt idx="2">
                  <c:v>7.7931034482758704E-2</c:v>
                </c:pt>
                <c:pt idx="3">
                  <c:v>6.5646908859145842E-2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A-4194-89E3-4469E824E13A}"/>
            </c:ext>
          </c:extLst>
        </c:ser>
        <c:ser>
          <c:idx val="2"/>
          <c:order val="2"/>
          <c:tx>
            <c:strRef>
              <c:f>'4.3Urban'!$L$7</c:f>
              <c:strCache>
                <c:ptCount val="1"/>
                <c:pt idx="0">
                  <c:v>DAILY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'4.3Urban'!$I$8:$I$11</c:f>
              <c:strCache>
                <c:ptCount val="4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</c:strCache>
            </c:strRef>
          </c:cat>
          <c:val>
            <c:numRef>
              <c:f>'4.3Urban'!$L$8:$L$11</c:f>
              <c:numCache>
                <c:formatCode>0.0%</c:formatCode>
                <c:ptCount val="4"/>
                <c:pt idx="0">
                  <c:v>3.1185361972951142E-2</c:v>
                </c:pt>
                <c:pt idx="1">
                  <c:v>5.3302611367127703E-2</c:v>
                </c:pt>
                <c:pt idx="2">
                  <c:v>7.2608695652174191E-2</c:v>
                </c:pt>
                <c:pt idx="3">
                  <c:v>6.6916488222698078E-2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0A-4194-89E3-4469E824E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5728096"/>
        <c:axId val="295730016"/>
      </c:barChart>
      <c:catAx>
        <c:axId val="29572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30016"/>
        <c:crosses val="autoZero"/>
        <c:auto val="1"/>
        <c:lblAlgn val="ctr"/>
        <c:lblOffset val="100"/>
        <c:noMultiLvlLbl val="0"/>
      </c:catAx>
      <c:valAx>
        <c:axId val="2957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2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Fluctuation of oil price in Rural Area</a:t>
            </a: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 5.1'!$D$2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"/>
              <c:layout>
                <c:manualLayout>
                  <c:x val="-2.8564547206165702E-2"/>
                  <c:y val="6.2625153909183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CF-461F-B452-C9CD5AA6B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5.1'!$C$3:$C$26</c:f>
              <c:strCache>
                <c:ptCount val="2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  <c:pt idx="12">
                  <c:v>June</c:v>
                </c:pt>
                <c:pt idx="13">
                  <c:v>July</c:v>
                </c:pt>
                <c:pt idx="14">
                  <c:v>August</c:v>
                </c:pt>
                <c:pt idx="15">
                  <c:v>September</c:v>
                </c:pt>
                <c:pt idx="16">
                  <c:v>October</c:v>
                </c:pt>
                <c:pt idx="17">
                  <c:v>November</c:v>
                </c:pt>
                <c:pt idx="18">
                  <c:v>December</c:v>
                </c:pt>
                <c:pt idx="19">
                  <c:v>January</c:v>
                </c:pt>
                <c:pt idx="20">
                  <c:v>February</c:v>
                </c:pt>
                <c:pt idx="21">
                  <c:v>March</c:v>
                </c:pt>
                <c:pt idx="22">
                  <c:v>April</c:v>
                </c:pt>
                <c:pt idx="23">
                  <c:v>May</c:v>
                </c:pt>
              </c:strCache>
            </c:strRef>
          </c:cat>
          <c:val>
            <c:numRef>
              <c:f>'Problem 5.1'!$D$3:$D$26</c:f>
              <c:numCache>
                <c:formatCode>General</c:formatCode>
                <c:ptCount val="24"/>
                <c:pt idx="0">
                  <c:v>162.1</c:v>
                </c:pt>
                <c:pt idx="1">
                  <c:v>162.5</c:v>
                </c:pt>
                <c:pt idx="2">
                  <c:v>163.1</c:v>
                </c:pt>
                <c:pt idx="3">
                  <c:v>163.69999999999999</c:v>
                </c:pt>
                <c:pt idx="4">
                  <c:v>165.5</c:v>
                </c:pt>
                <c:pt idx="5">
                  <c:v>165.3</c:v>
                </c:pt>
                <c:pt idx="6">
                  <c:v>165.6</c:v>
                </c:pt>
                <c:pt idx="7">
                  <c:v>165.8</c:v>
                </c:pt>
                <c:pt idx="8">
                  <c:v>167.4</c:v>
                </c:pt>
                <c:pt idx="9">
                  <c:v>168.9</c:v>
                </c:pt>
                <c:pt idx="10">
                  <c:v>173.3</c:v>
                </c:pt>
                <c:pt idx="11">
                  <c:v>175.3</c:v>
                </c:pt>
                <c:pt idx="12">
                  <c:v>176.7</c:v>
                </c:pt>
                <c:pt idx="13">
                  <c:v>179.6</c:v>
                </c:pt>
                <c:pt idx="14">
                  <c:v>179.1</c:v>
                </c:pt>
                <c:pt idx="15">
                  <c:v>179.7</c:v>
                </c:pt>
                <c:pt idx="16">
                  <c:v>180.8</c:v>
                </c:pt>
                <c:pt idx="17">
                  <c:v>181.9</c:v>
                </c:pt>
                <c:pt idx="18">
                  <c:v>182.8</c:v>
                </c:pt>
                <c:pt idx="19">
                  <c:v>183.2</c:v>
                </c:pt>
                <c:pt idx="20">
                  <c:v>181.6</c:v>
                </c:pt>
                <c:pt idx="21">
                  <c:v>181.4</c:v>
                </c:pt>
                <c:pt idx="22">
                  <c:v>181.5</c:v>
                </c:pt>
                <c:pt idx="23">
                  <c:v>182.5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F-461F-B452-C9CD5AA6B001}"/>
            </c:ext>
          </c:extLst>
        </c:ser>
        <c:ser>
          <c:idx val="1"/>
          <c:order val="1"/>
          <c:tx>
            <c:strRef>
              <c:f>'Problem 5.1'!$E$2</c:f>
              <c:strCache>
                <c:ptCount val="1"/>
                <c:pt idx="0">
                  <c:v>General index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"/>
              <c:layout>
                <c:manualLayout>
                  <c:x val="-3.0170199100834939E-2"/>
                  <c:y val="-5.4277908500168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CF-461F-B452-C9CD5AA6B001}"/>
                </c:ext>
              </c:extLst>
            </c:dLbl>
            <c:dLbl>
              <c:idx val="6"/>
              <c:layout>
                <c:manualLayout>
                  <c:x val="-2.6236351958895312E-2"/>
                  <c:y val="5.4236281817026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CF-461F-B452-C9CD5AA6B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5.1'!$C$3:$C$26</c:f>
              <c:strCache>
                <c:ptCount val="2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  <c:pt idx="12">
                  <c:v>June</c:v>
                </c:pt>
                <c:pt idx="13">
                  <c:v>July</c:v>
                </c:pt>
                <c:pt idx="14">
                  <c:v>August</c:v>
                </c:pt>
                <c:pt idx="15">
                  <c:v>September</c:v>
                </c:pt>
                <c:pt idx="16">
                  <c:v>October</c:v>
                </c:pt>
                <c:pt idx="17">
                  <c:v>November</c:v>
                </c:pt>
                <c:pt idx="18">
                  <c:v>December</c:v>
                </c:pt>
                <c:pt idx="19">
                  <c:v>January</c:v>
                </c:pt>
                <c:pt idx="20">
                  <c:v>February</c:v>
                </c:pt>
                <c:pt idx="21">
                  <c:v>March</c:v>
                </c:pt>
                <c:pt idx="22">
                  <c:v>April</c:v>
                </c:pt>
                <c:pt idx="23">
                  <c:v>May</c:v>
                </c:pt>
              </c:strCache>
            </c:strRef>
          </c:cat>
          <c:val>
            <c:numRef>
              <c:f>'Problem 5.1'!$E$3:$E$26</c:f>
              <c:numCache>
                <c:formatCode>General</c:formatCode>
                <c:ptCount val="24"/>
                <c:pt idx="0">
                  <c:v>162.1</c:v>
                </c:pt>
                <c:pt idx="1">
                  <c:v>163.19999999999999</c:v>
                </c:pt>
                <c:pt idx="2">
                  <c:v>163.6</c:v>
                </c:pt>
                <c:pt idx="3">
                  <c:v>164</c:v>
                </c:pt>
                <c:pt idx="4">
                  <c:v>166.3</c:v>
                </c:pt>
                <c:pt idx="5">
                  <c:v>167.6</c:v>
                </c:pt>
                <c:pt idx="6">
                  <c:v>167</c:v>
                </c:pt>
                <c:pt idx="7">
                  <c:v>166.4</c:v>
                </c:pt>
                <c:pt idx="8">
                  <c:v>166.7</c:v>
                </c:pt>
                <c:pt idx="9">
                  <c:v>168.7</c:v>
                </c:pt>
                <c:pt idx="10">
                  <c:v>170.8</c:v>
                </c:pt>
                <c:pt idx="11">
                  <c:v>172.5</c:v>
                </c:pt>
                <c:pt idx="12">
                  <c:v>173.6</c:v>
                </c:pt>
                <c:pt idx="13">
                  <c:v>174.3</c:v>
                </c:pt>
                <c:pt idx="14">
                  <c:v>175.3</c:v>
                </c:pt>
                <c:pt idx="15">
                  <c:v>176.4</c:v>
                </c:pt>
                <c:pt idx="16">
                  <c:v>177.9</c:v>
                </c:pt>
                <c:pt idx="17">
                  <c:v>177.8</c:v>
                </c:pt>
                <c:pt idx="18">
                  <c:v>177.1</c:v>
                </c:pt>
                <c:pt idx="19">
                  <c:v>177.8</c:v>
                </c:pt>
                <c:pt idx="20">
                  <c:v>178</c:v>
                </c:pt>
                <c:pt idx="21">
                  <c:v>178</c:v>
                </c:pt>
                <c:pt idx="22">
                  <c:v>178.8</c:v>
                </c:pt>
                <c:pt idx="23">
                  <c:v>179.8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CF-461F-B452-C9CD5AA6B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257824"/>
        <c:axId val="1328258784"/>
      </c:lineChart>
      <c:catAx>
        <c:axId val="13282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58784"/>
        <c:crosses val="autoZero"/>
        <c:auto val="1"/>
        <c:lblAlgn val="ctr"/>
        <c:lblOffset val="100"/>
        <c:noMultiLvlLbl val="0"/>
      </c:catAx>
      <c:valAx>
        <c:axId val="13282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5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Fluctuation of oil price in Rural+Urban Area</a:t>
            </a: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 5.1'!$D$33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5.1'!$C$34:$C$57</c:f>
              <c:strCache>
                <c:ptCount val="2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  <c:pt idx="12">
                  <c:v>June</c:v>
                </c:pt>
                <c:pt idx="13">
                  <c:v>July</c:v>
                </c:pt>
                <c:pt idx="14">
                  <c:v>August</c:v>
                </c:pt>
                <c:pt idx="15">
                  <c:v>September</c:v>
                </c:pt>
                <c:pt idx="16">
                  <c:v>October</c:v>
                </c:pt>
                <c:pt idx="17">
                  <c:v>November</c:v>
                </c:pt>
                <c:pt idx="18">
                  <c:v>December</c:v>
                </c:pt>
                <c:pt idx="19">
                  <c:v>January</c:v>
                </c:pt>
                <c:pt idx="20">
                  <c:v>February</c:v>
                </c:pt>
                <c:pt idx="21">
                  <c:v>March</c:v>
                </c:pt>
                <c:pt idx="22">
                  <c:v>April</c:v>
                </c:pt>
                <c:pt idx="23">
                  <c:v>May</c:v>
                </c:pt>
              </c:strCache>
            </c:strRef>
          </c:cat>
          <c:val>
            <c:numRef>
              <c:f>'Problem 5.1'!$D$34:$D$57</c:f>
              <c:numCache>
                <c:formatCode>General</c:formatCode>
                <c:ptCount val="24"/>
                <c:pt idx="0">
                  <c:v>159.80000000000001</c:v>
                </c:pt>
                <c:pt idx="1">
                  <c:v>160.69999999999999</c:v>
                </c:pt>
                <c:pt idx="2">
                  <c:v>162.6</c:v>
                </c:pt>
                <c:pt idx="3">
                  <c:v>162.6</c:v>
                </c:pt>
                <c:pt idx="4">
                  <c:v>164.2</c:v>
                </c:pt>
                <c:pt idx="5">
                  <c:v>163.9</c:v>
                </c:pt>
                <c:pt idx="6">
                  <c:v>164.1</c:v>
                </c:pt>
                <c:pt idx="7">
                  <c:v>164.2</c:v>
                </c:pt>
                <c:pt idx="8">
                  <c:v>165.7</c:v>
                </c:pt>
                <c:pt idx="9">
                  <c:v>167.2</c:v>
                </c:pt>
                <c:pt idx="10">
                  <c:v>172.2</c:v>
                </c:pt>
                <c:pt idx="11">
                  <c:v>174.6</c:v>
                </c:pt>
                <c:pt idx="12">
                  <c:v>176</c:v>
                </c:pt>
                <c:pt idx="13">
                  <c:v>179.6</c:v>
                </c:pt>
                <c:pt idx="14">
                  <c:v>178.8</c:v>
                </c:pt>
                <c:pt idx="15">
                  <c:v>179.5</c:v>
                </c:pt>
                <c:pt idx="16">
                  <c:v>180.5</c:v>
                </c:pt>
                <c:pt idx="17">
                  <c:v>181.3</c:v>
                </c:pt>
                <c:pt idx="18">
                  <c:v>182</c:v>
                </c:pt>
                <c:pt idx="19">
                  <c:v>182</c:v>
                </c:pt>
                <c:pt idx="20">
                  <c:v>182.1</c:v>
                </c:pt>
                <c:pt idx="21">
                  <c:v>181.9</c:v>
                </c:pt>
                <c:pt idx="22">
                  <c:v>181.7</c:v>
                </c:pt>
                <c:pt idx="23">
                  <c:v>182.8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0-42B5-B7B9-2F17BD53D78F}"/>
            </c:ext>
          </c:extLst>
        </c:ser>
        <c:ser>
          <c:idx val="1"/>
          <c:order val="1"/>
          <c:tx>
            <c:strRef>
              <c:f>'Problem 5.1'!$E$33</c:f>
              <c:strCache>
                <c:ptCount val="1"/>
                <c:pt idx="0">
                  <c:v>General index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1449694631951139E-2"/>
                  <c:y val="-4.0265002261894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100-42B5-B7B9-2F17BD53D78F}"/>
                </c:ext>
              </c:extLst>
            </c:dLbl>
            <c:dLbl>
              <c:idx val="1"/>
              <c:layout>
                <c:manualLayout>
                  <c:x val="-3.5020893603342977E-2"/>
                  <c:y val="-4.0265002261894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00-42B5-B7B9-2F17BD53D78F}"/>
                </c:ext>
              </c:extLst>
            </c:dLbl>
            <c:dLbl>
              <c:idx val="2"/>
              <c:layout>
                <c:manualLayout>
                  <c:x val="-3.019929283188684E-2"/>
                  <c:y val="-5.4142326713740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00-42B5-B7B9-2F17BD53D78F}"/>
                </c:ext>
              </c:extLst>
            </c:dLbl>
            <c:dLbl>
              <c:idx val="3"/>
              <c:layout>
                <c:manualLayout>
                  <c:x val="-3.3413693346190938E-2"/>
                  <c:y val="-7.3570580946324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00-42B5-B7B9-2F17BD53D78F}"/>
                </c:ext>
              </c:extLst>
            </c:dLbl>
            <c:dLbl>
              <c:idx val="4"/>
              <c:layout>
                <c:manualLayout>
                  <c:x val="-2.6984892317582772E-2"/>
                  <c:y val="-5.96932564944785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100-42B5-B7B9-2F17BD53D78F}"/>
                </c:ext>
              </c:extLst>
            </c:dLbl>
            <c:dLbl>
              <c:idx val="5"/>
              <c:layout>
                <c:manualLayout>
                  <c:x val="-3.0199292831886854E-2"/>
                  <c:y val="-6.52441862752169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00-42B5-B7B9-2F17BD53D78F}"/>
                </c:ext>
              </c:extLst>
            </c:dLbl>
            <c:dLbl>
              <c:idx val="6"/>
              <c:layout>
                <c:manualLayout>
                  <c:x val="-3.1806493089038892E-2"/>
                  <c:y val="-4.3040467152263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100-42B5-B7B9-2F17BD53D78F}"/>
                </c:ext>
              </c:extLst>
            </c:dLbl>
            <c:dLbl>
              <c:idx val="7"/>
              <c:layout>
                <c:manualLayout>
                  <c:x val="-3.6628093860495016E-2"/>
                  <c:y val="-8.1896975617431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100-42B5-B7B9-2F17BD53D78F}"/>
                </c:ext>
              </c:extLst>
            </c:dLbl>
            <c:dLbl>
              <c:idx val="8"/>
              <c:layout>
                <c:manualLayout>
                  <c:x val="-3.8235294117647062E-2"/>
                  <c:y val="-4.85913969330020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00-42B5-B7B9-2F17BD53D78F}"/>
                </c:ext>
              </c:extLst>
            </c:dLbl>
            <c:dLbl>
              <c:idx val="9"/>
              <c:layout>
                <c:manualLayout>
                  <c:x val="-3.1806493089038955E-2"/>
                  <c:y val="-5.6917791604109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100-42B5-B7B9-2F17BD53D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5.1'!$C$34:$C$57</c:f>
              <c:strCache>
                <c:ptCount val="2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  <c:pt idx="12">
                  <c:v>June</c:v>
                </c:pt>
                <c:pt idx="13">
                  <c:v>July</c:v>
                </c:pt>
                <c:pt idx="14">
                  <c:v>August</c:v>
                </c:pt>
                <c:pt idx="15">
                  <c:v>September</c:v>
                </c:pt>
                <c:pt idx="16">
                  <c:v>October</c:v>
                </c:pt>
                <c:pt idx="17">
                  <c:v>November</c:v>
                </c:pt>
                <c:pt idx="18">
                  <c:v>December</c:v>
                </c:pt>
                <c:pt idx="19">
                  <c:v>January</c:v>
                </c:pt>
                <c:pt idx="20">
                  <c:v>February</c:v>
                </c:pt>
                <c:pt idx="21">
                  <c:v>March</c:v>
                </c:pt>
                <c:pt idx="22">
                  <c:v>April</c:v>
                </c:pt>
                <c:pt idx="23">
                  <c:v>May</c:v>
                </c:pt>
              </c:strCache>
            </c:strRef>
          </c:cat>
          <c:val>
            <c:numRef>
              <c:f>'Problem 5.1'!$E$34:$E$57</c:f>
              <c:numCache>
                <c:formatCode>General</c:formatCode>
                <c:ptCount val="24"/>
                <c:pt idx="0">
                  <c:v>161.30000000000001</c:v>
                </c:pt>
                <c:pt idx="1">
                  <c:v>162.5</c:v>
                </c:pt>
                <c:pt idx="2">
                  <c:v>163.19999999999999</c:v>
                </c:pt>
                <c:pt idx="3">
                  <c:v>163.19999999999999</c:v>
                </c:pt>
                <c:pt idx="4">
                  <c:v>165.5</c:v>
                </c:pt>
                <c:pt idx="5">
                  <c:v>166.7</c:v>
                </c:pt>
                <c:pt idx="6">
                  <c:v>166.2</c:v>
                </c:pt>
                <c:pt idx="7">
                  <c:v>165.7</c:v>
                </c:pt>
                <c:pt idx="8">
                  <c:v>166.1</c:v>
                </c:pt>
                <c:pt idx="9">
                  <c:v>167.7</c:v>
                </c:pt>
                <c:pt idx="10">
                  <c:v>170.1</c:v>
                </c:pt>
                <c:pt idx="11">
                  <c:v>171.7</c:v>
                </c:pt>
                <c:pt idx="12">
                  <c:v>172.6</c:v>
                </c:pt>
                <c:pt idx="13">
                  <c:v>173.4</c:v>
                </c:pt>
                <c:pt idx="14">
                  <c:v>174.3</c:v>
                </c:pt>
                <c:pt idx="15">
                  <c:v>175.3</c:v>
                </c:pt>
                <c:pt idx="16">
                  <c:v>176.7</c:v>
                </c:pt>
                <c:pt idx="17">
                  <c:v>176.5</c:v>
                </c:pt>
                <c:pt idx="18">
                  <c:v>175.7</c:v>
                </c:pt>
                <c:pt idx="19">
                  <c:v>176.5</c:v>
                </c:pt>
                <c:pt idx="20">
                  <c:v>177.2</c:v>
                </c:pt>
                <c:pt idx="21">
                  <c:v>177.2</c:v>
                </c:pt>
                <c:pt idx="22">
                  <c:v>178.1</c:v>
                </c:pt>
                <c:pt idx="23">
                  <c:v>179.1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0-42B5-B7B9-2F17BD53D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833440"/>
        <c:axId val="1480837280"/>
      </c:lineChart>
      <c:catAx>
        <c:axId val="14808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37280"/>
        <c:crosses val="autoZero"/>
        <c:auto val="1"/>
        <c:lblAlgn val="ctr"/>
        <c:lblOffset val="100"/>
        <c:noMultiLvlLbl val="0"/>
      </c:catAx>
      <c:valAx>
        <c:axId val="14808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3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Fluctuation of oil price in Urban Area</a:t>
            </a: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 5.1'!$D$64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1"/>
              <c:layout>
                <c:manualLayout>
                  <c:x val="-3.8235294117647062E-2"/>
                  <c:y val="-5.0702230857111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752-462F-B14E-E34053CFC28C}"/>
                </c:ext>
              </c:extLst>
            </c:dLbl>
            <c:dLbl>
              <c:idx val="13"/>
              <c:layout>
                <c:manualLayout>
                  <c:x val="-2.8592092574734811E-2"/>
                  <c:y val="-5.0702230857111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52-462F-B14E-E34053CFC28C}"/>
                </c:ext>
              </c:extLst>
            </c:dLbl>
            <c:dLbl>
              <c:idx val="14"/>
              <c:layout>
                <c:manualLayout>
                  <c:x val="-2.8592092574734811E-2"/>
                  <c:y val="-4.2014133550421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52-462F-B14E-E34053CFC28C}"/>
                </c:ext>
              </c:extLst>
            </c:dLbl>
            <c:dLbl>
              <c:idx val="15"/>
              <c:layout>
                <c:manualLayout>
                  <c:x val="-1.8225650916104147E-2"/>
                  <c:y val="-5.3598263292674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52-462F-B14E-E34053CFC28C}"/>
                </c:ext>
              </c:extLst>
            </c:dLbl>
            <c:dLbl>
              <c:idx val="16"/>
              <c:layout>
                <c:manualLayout>
                  <c:x val="-2.0556091288974725E-2"/>
                  <c:y val="-4.78061984215483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52-462F-B14E-E34053CFC28C}"/>
                </c:ext>
              </c:extLst>
            </c:dLbl>
            <c:dLbl>
              <c:idx val="17"/>
              <c:layout>
                <c:manualLayout>
                  <c:x val="-2.537769206043073E-2"/>
                  <c:y val="-3.6222068679295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752-462F-B14E-E34053CFC28C}"/>
                </c:ext>
              </c:extLst>
            </c:dLbl>
            <c:dLbl>
              <c:idx val="18"/>
              <c:layout>
                <c:manualLayout>
                  <c:x val="-1.8948891031822564E-2"/>
                  <c:y val="-6.2286360599364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52-462F-B14E-E34053CFC28C}"/>
                </c:ext>
              </c:extLst>
            </c:dLbl>
            <c:dLbl>
              <c:idx val="19"/>
              <c:layout>
                <c:manualLayout>
                  <c:x val="-2.8592092574734929E-2"/>
                  <c:y val="-5.6494295728238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752-462F-B14E-E34053CFC28C}"/>
                </c:ext>
              </c:extLst>
            </c:dLbl>
            <c:dLbl>
              <c:idx val="20"/>
              <c:layout>
                <c:manualLayout>
                  <c:x val="-3.0199292831886854E-2"/>
                  <c:y val="-4.2014133550421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752-462F-B14E-E34053CFC28C}"/>
                </c:ext>
              </c:extLst>
            </c:dLbl>
            <c:dLbl>
              <c:idx val="22"/>
              <c:layout>
                <c:manualLayout>
                  <c:x val="-1.5071741876045748E-2"/>
                  <c:y val="-5.9390328163801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752-462F-B14E-E34053CFC2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5.1'!$C$65:$C$87</c:f>
              <c:strCache>
                <c:ptCount val="2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  <c:pt idx="13">
                  <c:v>August</c:v>
                </c:pt>
                <c:pt idx="14">
                  <c:v>September</c:v>
                </c:pt>
                <c:pt idx="15">
                  <c:v>October</c:v>
                </c:pt>
                <c:pt idx="16">
                  <c:v>November</c:v>
                </c:pt>
                <c:pt idx="17">
                  <c:v>December</c:v>
                </c:pt>
                <c:pt idx="18">
                  <c:v>January</c:v>
                </c:pt>
                <c:pt idx="19">
                  <c:v>February</c:v>
                </c:pt>
                <c:pt idx="20">
                  <c:v>March</c:v>
                </c:pt>
                <c:pt idx="21">
                  <c:v>April</c:v>
                </c:pt>
                <c:pt idx="22">
                  <c:v>May</c:v>
                </c:pt>
              </c:strCache>
            </c:strRef>
          </c:cat>
          <c:val>
            <c:numRef>
              <c:f>'Problem 5.1'!$D$65:$D$87</c:f>
              <c:numCache>
                <c:formatCode>General</c:formatCode>
                <c:ptCount val="23"/>
                <c:pt idx="0">
                  <c:v>157.69999999999999</c:v>
                </c:pt>
                <c:pt idx="1">
                  <c:v>160.69999999999999</c:v>
                </c:pt>
                <c:pt idx="2">
                  <c:v>160.80000000000001</c:v>
                </c:pt>
                <c:pt idx="3">
                  <c:v>162.19999999999999</c:v>
                </c:pt>
                <c:pt idx="4">
                  <c:v>161.6</c:v>
                </c:pt>
                <c:pt idx="5">
                  <c:v>161.69999999999999</c:v>
                </c:pt>
                <c:pt idx="6">
                  <c:v>161.6</c:v>
                </c:pt>
                <c:pt idx="7">
                  <c:v>163</c:v>
                </c:pt>
                <c:pt idx="8">
                  <c:v>164.5</c:v>
                </c:pt>
                <c:pt idx="9">
                  <c:v>170.5</c:v>
                </c:pt>
                <c:pt idx="10">
                  <c:v>173.5</c:v>
                </c:pt>
                <c:pt idx="11">
                  <c:v>174.9</c:v>
                </c:pt>
                <c:pt idx="12">
                  <c:v>179.5</c:v>
                </c:pt>
                <c:pt idx="13">
                  <c:v>178.4</c:v>
                </c:pt>
                <c:pt idx="14">
                  <c:v>179.2</c:v>
                </c:pt>
                <c:pt idx="15">
                  <c:v>180</c:v>
                </c:pt>
                <c:pt idx="16">
                  <c:v>180.3</c:v>
                </c:pt>
                <c:pt idx="17">
                  <c:v>180.6</c:v>
                </c:pt>
                <c:pt idx="18">
                  <c:v>180.1</c:v>
                </c:pt>
                <c:pt idx="19">
                  <c:v>182.8</c:v>
                </c:pt>
                <c:pt idx="20">
                  <c:v>182.6</c:v>
                </c:pt>
                <c:pt idx="21">
                  <c:v>182.1</c:v>
                </c:pt>
                <c:pt idx="22">
                  <c:v>183.4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2-462F-B14E-E34053CFC28C}"/>
            </c:ext>
          </c:extLst>
        </c:ser>
        <c:ser>
          <c:idx val="1"/>
          <c:order val="1"/>
          <c:tx>
            <c:strRef>
              <c:f>'Problem 5.1'!$E$64</c:f>
              <c:strCache>
                <c:ptCount val="1"/>
                <c:pt idx="0">
                  <c:v>General index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1"/>
              <c:layout>
                <c:manualLayout>
                  <c:x val="-1.0912889746062419E-2"/>
                  <c:y val="3.6222068679295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752-462F-B14E-E34053CFC28C}"/>
                </c:ext>
              </c:extLst>
            </c:dLbl>
            <c:dLbl>
              <c:idx val="21"/>
              <c:layout>
                <c:manualLayout>
                  <c:x val="-2.8592092574734929E-2"/>
                  <c:y val="-0.10857955309886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752-462F-B14E-E34053CFC2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5.1'!$C$65:$C$87</c:f>
              <c:strCache>
                <c:ptCount val="2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  <c:pt idx="13">
                  <c:v>August</c:v>
                </c:pt>
                <c:pt idx="14">
                  <c:v>September</c:v>
                </c:pt>
                <c:pt idx="15">
                  <c:v>October</c:v>
                </c:pt>
                <c:pt idx="16">
                  <c:v>November</c:v>
                </c:pt>
                <c:pt idx="17">
                  <c:v>December</c:v>
                </c:pt>
                <c:pt idx="18">
                  <c:v>January</c:v>
                </c:pt>
                <c:pt idx="19">
                  <c:v>February</c:v>
                </c:pt>
                <c:pt idx="20">
                  <c:v>March</c:v>
                </c:pt>
                <c:pt idx="21">
                  <c:v>April</c:v>
                </c:pt>
                <c:pt idx="22">
                  <c:v>May</c:v>
                </c:pt>
              </c:strCache>
            </c:strRef>
          </c:cat>
          <c:val>
            <c:numRef>
              <c:f>'Problem 5.1'!$E$65:$E$87</c:f>
              <c:numCache>
                <c:formatCode>General</c:formatCode>
                <c:ptCount val="23"/>
                <c:pt idx="0">
                  <c:v>161.80000000000001</c:v>
                </c:pt>
                <c:pt idx="1">
                  <c:v>162.30000000000001</c:v>
                </c:pt>
                <c:pt idx="2">
                  <c:v>162.30000000000001</c:v>
                </c:pt>
                <c:pt idx="3">
                  <c:v>164.6</c:v>
                </c:pt>
                <c:pt idx="4">
                  <c:v>165.6</c:v>
                </c:pt>
                <c:pt idx="5">
                  <c:v>165.2</c:v>
                </c:pt>
                <c:pt idx="6">
                  <c:v>165</c:v>
                </c:pt>
                <c:pt idx="7">
                  <c:v>165.5</c:v>
                </c:pt>
                <c:pt idx="8">
                  <c:v>166.5</c:v>
                </c:pt>
                <c:pt idx="9">
                  <c:v>169.2</c:v>
                </c:pt>
                <c:pt idx="10">
                  <c:v>170.8</c:v>
                </c:pt>
                <c:pt idx="11">
                  <c:v>171.4</c:v>
                </c:pt>
                <c:pt idx="12">
                  <c:v>172.3</c:v>
                </c:pt>
                <c:pt idx="13">
                  <c:v>173.1</c:v>
                </c:pt>
                <c:pt idx="14">
                  <c:v>174.1</c:v>
                </c:pt>
                <c:pt idx="15">
                  <c:v>175.3</c:v>
                </c:pt>
                <c:pt idx="16">
                  <c:v>174.1</c:v>
                </c:pt>
                <c:pt idx="17">
                  <c:v>174.1</c:v>
                </c:pt>
                <c:pt idx="18">
                  <c:v>174.9</c:v>
                </c:pt>
                <c:pt idx="19">
                  <c:v>176.3</c:v>
                </c:pt>
                <c:pt idx="20">
                  <c:v>176.3</c:v>
                </c:pt>
                <c:pt idx="21">
                  <c:v>177.4</c:v>
                </c:pt>
                <c:pt idx="22">
                  <c:v>178.2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2-462F-B14E-E34053CFC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830560"/>
        <c:axId val="1480826720"/>
      </c:lineChart>
      <c:catAx>
        <c:axId val="14808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26720"/>
        <c:crosses val="autoZero"/>
        <c:auto val="1"/>
        <c:lblAlgn val="ctr"/>
        <c:lblOffset val="100"/>
        <c:noMultiLvlLbl val="0"/>
      </c:catAx>
      <c:valAx>
        <c:axId val="148082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3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5.2'!$AA$1</c:f>
              <c:strCache>
                <c:ptCount val="1"/>
                <c:pt idx="0">
                  <c:v>Infation as comapred to 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5.2'!$Z$2:$Z$10</c:f>
              <c:strCache>
                <c:ptCount val="9"/>
                <c:pt idx="0">
                  <c:v>Food Inflation </c:v>
                </c:pt>
                <c:pt idx="1">
                  <c:v>PT &amp; I Inflation</c:v>
                </c:pt>
                <c:pt idx="2">
                  <c:v>C &amp; FOOTWEAR Inflation</c:v>
                </c:pt>
                <c:pt idx="3">
                  <c:v>Housing Infaltion</c:v>
                </c:pt>
                <c:pt idx="4">
                  <c:v>Health infaltion</c:v>
                </c:pt>
                <c:pt idx="5">
                  <c:v>DE inflation</c:v>
                </c:pt>
                <c:pt idx="6">
                  <c:v>Edu Inflation</c:v>
                </c:pt>
                <c:pt idx="7">
                  <c:v>Misc Inflation</c:v>
                </c:pt>
                <c:pt idx="8">
                  <c:v>Trans &amp; Comm Inflation</c:v>
                </c:pt>
              </c:strCache>
            </c:strRef>
          </c:cat>
          <c:val>
            <c:numRef>
              <c:f>'Problem 5.2'!$AA$2:$AA$10</c:f>
              <c:numCache>
                <c:formatCode>0%</c:formatCode>
                <c:ptCount val="9"/>
                <c:pt idx="0">
                  <c:v>0.56061489478787774</c:v>
                </c:pt>
                <c:pt idx="1">
                  <c:v>-0.13125094053878861</c:v>
                </c:pt>
                <c:pt idx="2">
                  <c:v>0.52360026833786644</c:v>
                </c:pt>
                <c:pt idx="3">
                  <c:v>0.13957666403332386</c:v>
                </c:pt>
                <c:pt idx="4">
                  <c:v>-0.16311057055628359</c:v>
                </c:pt>
                <c:pt idx="5">
                  <c:v>0.06</c:v>
                </c:pt>
                <c:pt idx="6">
                  <c:v>0.20477595082441735</c:v>
                </c:pt>
                <c:pt idx="7">
                  <c:v>0.32475036867637491</c:v>
                </c:pt>
                <c:pt idx="8">
                  <c:v>0.480439426185443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5-4D99-BB30-64AB731C0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7853056"/>
        <c:axId val="1997856416"/>
      </c:barChart>
      <c:catAx>
        <c:axId val="199785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56416"/>
        <c:crosses val="autoZero"/>
        <c:auto val="1"/>
        <c:lblAlgn val="ctr"/>
        <c:lblOffset val="100"/>
        <c:noMultiLvlLbl val="0"/>
      </c:catAx>
      <c:valAx>
        <c:axId val="199785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5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5.2'!$AA$33</c:f>
              <c:strCache>
                <c:ptCount val="1"/>
                <c:pt idx="0">
                  <c:v>Infation as comapred to 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5.2'!$Z$34:$Z$42</c:f>
              <c:strCache>
                <c:ptCount val="9"/>
                <c:pt idx="0">
                  <c:v>Food Inflation </c:v>
                </c:pt>
                <c:pt idx="1">
                  <c:v>PT &amp; I Inflation</c:v>
                </c:pt>
                <c:pt idx="2">
                  <c:v>C &amp; FOOTWEAR Inflation</c:v>
                </c:pt>
                <c:pt idx="3">
                  <c:v>Housing Infaltion</c:v>
                </c:pt>
                <c:pt idx="4">
                  <c:v>Health infaltion</c:v>
                </c:pt>
                <c:pt idx="5">
                  <c:v>DE inflation</c:v>
                </c:pt>
                <c:pt idx="6">
                  <c:v>Edu Inflation</c:v>
                </c:pt>
                <c:pt idx="7">
                  <c:v>Misc Inflation</c:v>
                </c:pt>
                <c:pt idx="8">
                  <c:v>Trans &amp; Comm Inflation</c:v>
                </c:pt>
              </c:strCache>
            </c:strRef>
          </c:cat>
          <c:val>
            <c:numRef>
              <c:f>'Problem 5.2'!$AA$34:$AA$42</c:f>
              <c:numCache>
                <c:formatCode>0%</c:formatCode>
                <c:ptCount val="9"/>
                <c:pt idx="0">
                  <c:v>0.44707259916713316</c:v>
                </c:pt>
                <c:pt idx="1">
                  <c:v>-2.0877259845417707E-2</c:v>
                </c:pt>
                <c:pt idx="2">
                  <c:v>0.49076567821336964</c:v>
                </c:pt>
                <c:pt idx="3">
                  <c:v>0.17406876644647432</c:v>
                </c:pt>
                <c:pt idx="4">
                  <c:v>0.13420269425139825</c:v>
                </c:pt>
                <c:pt idx="5">
                  <c:v>0.1449</c:v>
                </c:pt>
                <c:pt idx="6">
                  <c:v>0.45985996635387355</c:v>
                </c:pt>
                <c:pt idx="7">
                  <c:v>0.59717292296379743</c:v>
                </c:pt>
                <c:pt idx="8">
                  <c:v>0.58985737022072149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E-4BEE-BFEA-14EFDE3E1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047840"/>
        <c:axId val="1662046880"/>
      </c:barChart>
      <c:catAx>
        <c:axId val="166204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046880"/>
        <c:crosses val="autoZero"/>
        <c:auto val="1"/>
        <c:lblAlgn val="ctr"/>
        <c:lblOffset val="100"/>
        <c:noMultiLvlLbl val="0"/>
      </c:catAx>
      <c:valAx>
        <c:axId val="166204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04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5.2'!$AA$61</c:f>
              <c:strCache>
                <c:ptCount val="1"/>
                <c:pt idx="0">
                  <c:v>Infation as comapred to 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5.2'!$Z$62:$Z$70</c:f>
              <c:strCache>
                <c:ptCount val="9"/>
                <c:pt idx="0">
                  <c:v>Food Inflation </c:v>
                </c:pt>
                <c:pt idx="1">
                  <c:v>PT &amp; I Inflation</c:v>
                </c:pt>
                <c:pt idx="2">
                  <c:v>C &amp; FOOTWEAR Inflation</c:v>
                </c:pt>
                <c:pt idx="3">
                  <c:v>Housing Infaltion</c:v>
                </c:pt>
                <c:pt idx="4">
                  <c:v>Health infaltion</c:v>
                </c:pt>
                <c:pt idx="5">
                  <c:v>DE inflation</c:v>
                </c:pt>
                <c:pt idx="6">
                  <c:v>Edu Inflation</c:v>
                </c:pt>
                <c:pt idx="7">
                  <c:v>Misc Inflation</c:v>
                </c:pt>
                <c:pt idx="8">
                  <c:v>Trans &amp; Comm Inflation</c:v>
                </c:pt>
              </c:strCache>
            </c:strRef>
          </c:cat>
          <c:val>
            <c:numRef>
              <c:f>'Problem 5.2'!$AA$62:$AA$70</c:f>
              <c:numCache>
                <c:formatCode>0%</c:formatCode>
                <c:ptCount val="9"/>
                <c:pt idx="0">
                  <c:v>0.3018631234796807</c:v>
                </c:pt>
                <c:pt idx="1">
                  <c:v>3.9205783548985615E-2</c:v>
                </c:pt>
                <c:pt idx="2">
                  <c:v>0.43738890125463314</c:v>
                </c:pt>
                <c:pt idx="3">
                  <c:v>0.22294741936600401</c:v>
                </c:pt>
                <c:pt idx="4">
                  <c:v>0.21828470854592608</c:v>
                </c:pt>
                <c:pt idx="5">
                  <c:v>0.2722</c:v>
                </c:pt>
                <c:pt idx="6">
                  <c:v>0.47612570453153186</c:v>
                </c:pt>
                <c:pt idx="7">
                  <c:v>0.66754612163370852</c:v>
                </c:pt>
                <c:pt idx="8">
                  <c:v>0.56386983609736752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6-492D-AC58-A7FF75BB2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7919936"/>
        <c:axId val="747918496"/>
      </c:barChart>
      <c:catAx>
        <c:axId val="74791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18496"/>
        <c:crosses val="autoZero"/>
        <c:auto val="1"/>
        <c:lblAlgn val="ctr"/>
        <c:lblOffset val="100"/>
        <c:noMultiLvlLbl val="0"/>
      </c:catAx>
      <c:valAx>
        <c:axId val="74791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1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114300</xdr:colOff>
      <xdr:row>21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8A3358-922F-F777-B423-427434777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10300" cy="3970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106680</xdr:rowOff>
    </xdr:from>
    <xdr:to>
      <xdr:col>10</xdr:col>
      <xdr:colOff>144780</xdr:colOff>
      <xdr:row>43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F96C4C-1FCC-CAC7-A504-AAED5D9C3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47160"/>
          <a:ext cx="6240780" cy="4091940"/>
        </a:xfrm>
        <a:prstGeom prst="rect">
          <a:avLst/>
        </a:prstGeom>
      </xdr:spPr>
    </xdr:pic>
    <xdr:clientData/>
  </xdr:twoCellAnchor>
  <xdr:twoCellAnchor editAs="oneCell">
    <xdr:from>
      <xdr:col>10</xdr:col>
      <xdr:colOff>99060</xdr:colOff>
      <xdr:row>0</xdr:row>
      <xdr:rowOff>0</xdr:rowOff>
    </xdr:from>
    <xdr:to>
      <xdr:col>20</xdr:col>
      <xdr:colOff>228600</xdr:colOff>
      <xdr:row>20</xdr:row>
      <xdr:rowOff>68580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745411-4F22-10F9-1FB9-4BF3B0DC5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5060" y="0"/>
          <a:ext cx="6225540" cy="3726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74295</xdr:colOff>
      <xdr:row>16</xdr:row>
      <xdr:rowOff>20955</xdr:rowOff>
    </xdr:from>
    <xdr:to>
      <xdr:col>14</xdr:col>
      <xdr:colOff>782955</xdr:colOff>
      <xdr:row>34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2DF35A-F3E5-1E4B-5FB2-002559AF5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781050</xdr:colOff>
      <xdr:row>16</xdr:row>
      <xdr:rowOff>9525</xdr:rowOff>
    </xdr:from>
    <xdr:to>
      <xdr:col>17</xdr:col>
      <xdr:colOff>537210</xdr:colOff>
      <xdr:row>34</xdr:row>
      <xdr:rowOff>17145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3D2853-BC63-44F3-8089-D9F5AD910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561975</xdr:colOff>
      <xdr:row>16</xdr:row>
      <xdr:rowOff>9525</xdr:rowOff>
    </xdr:from>
    <xdr:to>
      <xdr:col>20</xdr:col>
      <xdr:colOff>832485</xdr:colOff>
      <xdr:row>34</xdr:row>
      <xdr:rowOff>17145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2AAF17-7383-42EB-9A1B-AAF7D98C0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0</xdr:row>
      <xdr:rowOff>0</xdr:rowOff>
    </xdr:from>
    <xdr:to>
      <xdr:col>16</xdr:col>
      <xdr:colOff>335280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66CD1-8A12-9BF7-BE68-58DFD3FEF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91440</xdr:colOff>
      <xdr:row>23</xdr:row>
      <xdr:rowOff>38100</xdr:rowOff>
    </xdr:from>
    <xdr:to>
      <xdr:col>16</xdr:col>
      <xdr:colOff>922020</xdr:colOff>
      <xdr:row>44</xdr:row>
      <xdr:rowOff>45720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247F82-1EB6-B5F5-D742-CB234BB5D0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7" t="3724" r="1407" b="2234"/>
        <a:stretch/>
      </xdr:blipFill>
      <xdr:spPr>
        <a:xfrm>
          <a:off x="4130040" y="4290060"/>
          <a:ext cx="7383780" cy="3848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38100</xdr:rowOff>
    </xdr:from>
    <xdr:to>
      <xdr:col>11</xdr:col>
      <xdr:colOff>83820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3607D-1668-B7C1-7DE6-B24C33F50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3810</xdr:rowOff>
    </xdr:from>
    <xdr:to>
      <xdr:col>11</xdr:col>
      <xdr:colOff>129540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12CDF2-37F3-E391-46A5-465051BED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33</xdr:row>
      <xdr:rowOff>171450</xdr:rowOff>
    </xdr:from>
    <xdr:to>
      <xdr:col>11</xdr:col>
      <xdr:colOff>243840</xdr:colOff>
      <xdr:row>48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E49F73-4379-951B-A64E-36D5DAAF5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408365</xdr:colOff>
      <xdr:row>9</xdr:row>
      <xdr:rowOff>103037</xdr:rowOff>
    </xdr:from>
    <xdr:to>
      <xdr:col>26</xdr:col>
      <xdr:colOff>338425</xdr:colOff>
      <xdr:row>28</xdr:row>
      <xdr:rowOff>174050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E3595-2F73-5EAD-4697-052752EC6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511629</xdr:colOff>
      <xdr:row>34</xdr:row>
      <xdr:rowOff>16329</xdr:rowOff>
    </xdr:from>
    <xdr:to>
      <xdr:col>26</xdr:col>
      <xdr:colOff>548640</xdr:colOff>
      <xdr:row>53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0E1466-293E-4AAF-7958-7770E7710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579120</xdr:colOff>
      <xdr:row>69</xdr:row>
      <xdr:rowOff>99060</xdr:rowOff>
    </xdr:from>
    <xdr:to>
      <xdr:col>27</xdr:col>
      <xdr:colOff>91440</xdr:colOff>
      <xdr:row>89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164F19-511D-C1CA-C30F-893099B0E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457199</xdr:colOff>
      <xdr:row>11</xdr:row>
      <xdr:rowOff>176212</xdr:rowOff>
    </xdr:from>
    <xdr:to>
      <xdr:col>18</xdr:col>
      <xdr:colOff>380999</xdr:colOff>
      <xdr:row>33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A608CD-6A73-3660-9251-D7D36A0C7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11</xdr:row>
      <xdr:rowOff>157163</xdr:rowOff>
    </xdr:from>
    <xdr:to>
      <xdr:col>15</xdr:col>
      <xdr:colOff>590551</xdr:colOff>
      <xdr:row>30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A3D2B1-FE85-694E-A8C9-A6A057CE0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11</xdr:row>
      <xdr:rowOff>176213</xdr:rowOff>
    </xdr:from>
    <xdr:to>
      <xdr:col>17</xdr:col>
      <xdr:colOff>200025</xdr:colOff>
      <xdr:row>34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97AC87-A15A-107A-C6FD-0FB22E3B1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594360</xdr:colOff>
      <xdr:row>25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57D6B7-5631-6F70-9187-6C85EBE6A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32</xdr:row>
      <xdr:rowOff>3810</xdr:rowOff>
    </xdr:from>
    <xdr:to>
      <xdr:col>18</xdr:col>
      <xdr:colOff>594360</xdr:colOff>
      <xdr:row>57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C21F90-E828-CF81-6C00-692DB8082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63</xdr:row>
      <xdr:rowOff>19050</xdr:rowOff>
    </xdr:from>
    <xdr:to>
      <xdr:col>18</xdr:col>
      <xdr:colOff>601980</xdr:colOff>
      <xdr:row>87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FBE3D8-AB75-FB11-D85F-CC13A724C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419100</xdr:colOff>
      <xdr:row>10</xdr:row>
      <xdr:rowOff>52388</xdr:rowOff>
    </xdr:from>
    <xdr:to>
      <xdr:col>28</xdr:col>
      <xdr:colOff>466725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493A1-E74C-233F-F8B8-9567841A5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123825</xdr:colOff>
      <xdr:row>42</xdr:row>
      <xdr:rowOff>33338</xdr:rowOff>
    </xdr:from>
    <xdr:to>
      <xdr:col>28</xdr:col>
      <xdr:colOff>114300</xdr:colOff>
      <xdr:row>57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F09B70-190A-FC44-D9DC-2D2375CC0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38100</xdr:colOff>
      <xdr:row>70</xdr:row>
      <xdr:rowOff>80963</xdr:rowOff>
    </xdr:from>
    <xdr:to>
      <xdr:col>28</xdr:col>
      <xdr:colOff>28575</xdr:colOff>
      <xdr:row>85</xdr:row>
      <xdr:rowOff>109538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EC4A73-FE00-512B-60A8-EE05709A5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A9F7D-6504-4C8E-8547-F71862B14860}" name="Table1" displayName="Table1" ref="H28:K36" totalsRowShown="0" headerRowDxfId="35" dataDxfId="34" tableBorderDxfId="33" dataCellStyle="Percent">
  <autoFilter ref="H28:K36" xr:uid="{88FA9F7D-6504-4C8E-8547-F71862B14860}"/>
  <tableColumns count="4">
    <tableColumn id="1" xr3:uid="{E1A4DBAB-30B3-4489-B00B-51B5CE3D7543}" name="BRODER CATEGORIES" dataDxfId="32"/>
    <tableColumn id="2" xr3:uid="{115CD283-8873-4EE0-9180-9A80E177EEEA}" name="RURAL" dataDxfId="31" dataCellStyle="Percent">
      <calculatedColumnFormula>I16/$I$24</calculatedColumnFormula>
    </tableColumn>
    <tableColumn id="3" xr3:uid="{8D0DC536-03CD-4A70-BD35-D699288E16EE}" name="URBAN" dataDxfId="30" dataCellStyle="Percent">
      <calculatedColumnFormula>J16/$J$24</calculatedColumnFormula>
    </tableColumn>
    <tableColumn id="4" xr3:uid="{BE0DBEF4-20C5-471B-8CFD-5F520473A0D2}" name="RURAL+URBAN" dataDxfId="29" dataCellStyle="Percent">
      <calculatedColumnFormula>K16/$K$24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B47EE3-8435-4AB6-8E3F-AC391DFDED74}" name="Table2" displayName="Table2" ref="G1:I9" totalsRowShown="0">
  <autoFilter ref="G1:I9" xr:uid="{EEB47EE3-8435-4AB6-8E3F-AC391DFDED74}"/>
  <tableColumns count="3">
    <tableColumn id="1" xr3:uid="{93EA80BC-7E22-4B46-8A3E-88EE35ADD04B}" name="YEAR"/>
    <tableColumn id="2" xr3:uid="{F7FD42CF-3547-4D47-82EE-32E96A782796}" name="AVERAGE" dataDxfId="28"/>
    <tableColumn id="3" xr3:uid="{7C3F8C97-BBC3-4D0E-A4E9-BDEE49CA171D}" name="YoY Inflation" dataDxfId="27" dataCellStyle="Percent">
      <calculatedColumnFormula>(H2-H1)/H1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42B5A6-CD00-4830-9D58-03A5A6DFCF35}" name="Table3" displayName="Table3" ref="R11:S24" totalsRowShown="0">
  <autoFilter ref="R11:S24" xr:uid="{B342B5A6-CD00-4830-9D58-03A5A6DFCF35}"/>
  <tableColumns count="2">
    <tableColumn id="1" xr3:uid="{E266A99D-DCB6-4A54-910C-77415826D62A}" name="Sub Categories"/>
    <tableColumn id="2" xr3:uid="{0CB01195-4584-4755-9194-69EEAD12C0B3}" name="Absolute change in Inflation" dataDxfId="26" dataCellStyle="Percent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9899B8-EFB1-4797-9D7D-406598C58B76}" name="Table35" displayName="Table35" ref="R37:S50" totalsRowShown="0">
  <autoFilter ref="R37:S50" xr:uid="{B29899B8-EFB1-4797-9D7D-406598C58B76}"/>
  <tableColumns count="2">
    <tableColumn id="1" xr3:uid="{632DBDD5-EDCB-4201-BB87-94E275389965}" name="Sub Categories"/>
    <tableColumn id="2" xr3:uid="{52165FF0-BFC9-4B36-9424-A478E446C04B}" name="Absolute change in Inflation" dataDxfId="25" dataCellStyle="Percent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313EE7-0B66-450C-8A33-72B589757250}" name="Table36" displayName="Table36" ref="R73:S86" totalsRowShown="0">
  <autoFilter ref="R73:S86" xr:uid="{62313EE7-0B66-450C-8A33-72B589757250}"/>
  <tableColumns count="2">
    <tableColumn id="1" xr3:uid="{BF03D99B-E74D-4984-AA65-78C55A3FBA8A}" name="Sub Categories"/>
    <tableColumn id="2" xr3:uid="{7FC60319-004A-4EE8-AF80-A994BEED611C}" name="Absolute change in Inflation" dataDxfId="24" dataCellStyle="Percent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D9B75A-9B20-482C-BE70-97B071306F25}" name="Table7" displayName="Table7" ref="J6:M10" totalsRowShown="0" headerRowDxfId="23" dataDxfId="22" dataCellStyle="Percent">
  <autoFilter ref="J6:M10" xr:uid="{84D9B75A-9B20-482C-BE70-97B071306F25}"/>
  <tableColumns count="4">
    <tableColumn id="1" xr3:uid="{1AB89CB0-33BE-425D-A8A6-3B290902F0CD}" name="Year"/>
    <tableColumn id="2" xr3:uid="{9F14BBB9-E25A-430B-98AF-1D90CB8B06B5}" name="FOOD" dataDxfId="21" dataCellStyle="Percent"/>
    <tableColumn id="3" xr3:uid="{C6B004A1-B9C3-4763-9329-FD1D9C7B254C}" name="HEALTH" dataDxfId="20" dataCellStyle="Percent"/>
    <tableColumn id="4" xr3:uid="{226E1772-84F3-4244-8D29-700A3BF04E01}" name="DAILY ESSENTIALS" dataDxfId="19" dataCellStyle="Percen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2916E3-2DFB-4736-B244-8F04E559B2ED}" name="Table79" displayName="Table79" ref="H6:K10" totalsRowShown="0" headerRowDxfId="18" dataDxfId="17" dataCellStyle="Percent">
  <autoFilter ref="H6:K10" xr:uid="{DB2916E3-2DFB-4736-B244-8F04E559B2ED}"/>
  <tableColumns count="4">
    <tableColumn id="1" xr3:uid="{DFE49CA3-4240-491E-9EFF-90A8863655A2}" name="Year"/>
    <tableColumn id="2" xr3:uid="{0F1B49C7-F415-4BB2-A6C3-257A1CA63B4C}" name="FOOD" dataDxfId="16" dataCellStyle="Percent"/>
    <tableColumn id="3" xr3:uid="{0D2BB62C-D280-43BA-BAA5-ABC5149DFF9D}" name="HEALTH" dataDxfId="15" dataCellStyle="Percent"/>
    <tableColumn id="4" xr3:uid="{ADBEB696-D932-467E-AB52-BB79649B7A98}" name="DAILY ESSENTIALS" dataDxfId="14" dataCellStyle="Percen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E40DAC-1B13-444F-8E64-33E7557230E3}" name="Table7910" displayName="Table7910" ref="I7:L11" totalsRowShown="0" headerRowDxfId="13" dataDxfId="12" dataCellStyle="Percent">
  <autoFilter ref="I7:L11" xr:uid="{87E40DAC-1B13-444F-8E64-33E7557230E3}"/>
  <tableColumns count="4">
    <tableColumn id="1" xr3:uid="{CFCDB5E9-714F-4580-89A5-FF9FEB3D47AD}" name="Year"/>
    <tableColumn id="2" xr3:uid="{5AB44ABB-FBCC-4F8D-8D41-412093CA2C7C}" name="FOOD" dataDxfId="11" dataCellStyle="Percent"/>
    <tableColumn id="3" xr3:uid="{656E0C20-B86E-44E7-A735-A9DE178A755A}" name="HEALTH" dataDxfId="10" dataCellStyle="Percent"/>
    <tableColumn id="4" xr3:uid="{F231E8DB-E096-4F71-9EF8-27888E9F4212}" name="DAILY ESSENTIALS" dataDxfId="9" dataCellStyle="Percen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FD9D1F-DBE1-4177-BC2F-45CDD4CB97E5}" name="Table6" displayName="Table6" ref="Z1:AA10" totalsRowShown="0" headerRowDxfId="8">
  <autoFilter ref="Z1:AA10" xr:uid="{0DFD9D1F-DBE1-4177-BC2F-45CDD4CB97E5}"/>
  <tableColumns count="2">
    <tableColumn id="1" xr3:uid="{AAF593B5-2021-42F6-9ED0-869D5399C3FD}" name="Categories" dataDxfId="7"/>
    <tableColumn id="2" xr3:uid="{FF3100A9-751C-40D5-B330-7994AD18A334}" name="Infation as comapred to Oil" dataDxfId="6" dataCellStyle="Percen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9FA3C99-8045-4509-AAE5-2EFFB537385F}" name="Table611" displayName="Table611" ref="Z33:AA42" totalsRowShown="0" headerRowDxfId="5">
  <autoFilter ref="Z33:AA42" xr:uid="{89FA3C99-8045-4509-AAE5-2EFFB537385F}"/>
  <tableColumns count="2">
    <tableColumn id="1" xr3:uid="{60249929-6B46-4A37-ADF0-34FAA8E2F541}" name="Categories" dataDxfId="4"/>
    <tableColumn id="2" xr3:uid="{FC8D47B8-EB0C-4CA5-89FE-AA89F02FDC41}" name="Infation as comapred to Oil" dataDxfId="3" dataCellStyle="Percen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5569B1-C0F0-42AE-A247-61B5E3596A8E}" name="Table612" displayName="Table612" ref="Z61:AA70" totalsRowShown="0" headerRowDxfId="2">
  <autoFilter ref="Z61:AA70" xr:uid="{DB5569B1-C0F0-42AE-A247-61B5E3596A8E}"/>
  <tableColumns count="2">
    <tableColumn id="1" xr3:uid="{18D889F4-C4B7-430C-B105-6C0E991FD0F6}" name="Categories" dataDxfId="1"/>
    <tableColumn id="2" xr3:uid="{BB3555AA-E68B-49C3-B32B-D9BD8C6482FC}" name="Infation as comapred to Oil" dataDxfId="0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3C9F-C65C-4FE2-866E-BFBA5D43D335}">
  <sheetPr filterMode="1">
    <tabColor theme="4"/>
  </sheetPr>
  <dimension ref="A1:AD373"/>
  <sheetViews>
    <sheetView topLeftCell="H1" workbookViewId="0">
      <selection activeCell="V1" sqref="V1:V1048576"/>
    </sheetView>
  </sheetViews>
  <sheetFormatPr defaultRowHeight="14.4" x14ac:dyDescent="0.3"/>
  <cols>
    <col min="22" max="22" width="13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hidden="1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hidden="1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hidden="1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hidden="1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hidden="1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hidden="1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hidden="1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hidden="1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hidden="1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hidden="1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hidden="1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hidden="1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hidden="1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hidden="1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hidden="1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hidden="1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hidden="1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hidden="1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hidden="1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hidden="1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hidden="1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hidden="1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hidden="1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hidden="1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hidden="1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hidden="1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hidden="1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hidden="1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hidden="1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hidden="1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hidden="1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hidden="1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hidden="1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hidden="1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hidden="1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hidden="1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hidden="1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hidden="1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hidden="1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hidden="1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hidden="1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hidden="1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hidden="1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hidden="1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hidden="1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hidden="1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hidden="1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hidden="1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hidden="1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hidden="1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hidden="1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hidden="1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hidden="1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hidden="1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hidden="1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hidden="1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hidden="1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hidden="1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hidden="1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hidden="1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hidden="1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hidden="1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hidden="1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hidden="1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hidden="1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hidden="1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hidden="1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hidden="1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hidden="1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hidden="1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hidden="1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hidden="1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hidden="1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hidden="1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hidden="1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hidden="1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hidden="1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hidden="1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hidden="1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hidden="1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hidden="1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hidden="1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hidden="1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hidden="1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hidden="1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hidden="1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hidden="1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hidden="1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hidden="1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hidden="1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hidden="1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hidden="1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hidden="1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hidden="1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hidden="1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hidden="1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hidden="1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hidden="1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hidden="1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hidden="1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hidden="1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hidden="1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hidden="1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hidden="1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hidden="1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hidden="1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hidden="1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hidden="1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hidden="1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hidden="1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hidden="1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hidden="1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hidden="1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hidden="1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hidden="1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hidden="1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hidden="1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hidden="1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hidden="1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hidden="1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hidden="1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hidden="1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hidden="1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hidden="1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hidden="1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hidden="1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hidden="1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hidden="1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hidden="1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hidden="1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hidden="1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hidden="1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hidden="1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hidden="1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hidden="1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hidden="1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hidden="1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hidden="1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hidden="1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hidden="1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hidden="1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hidden="1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hidden="1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hidden="1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hidden="1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hidden="1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hidden="1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hidden="1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hidden="1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hidden="1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hidden="1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hidden="1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hidden="1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hidden="1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hidden="1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hidden="1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hidden="1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hidden="1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hidden="1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hidden="1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hidden="1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hidden="1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hidden="1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hidden="1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hidden="1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hidden="1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hidden="1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hidden="1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hidden="1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hidden="1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hidden="1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hidden="1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hidden="1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hidden="1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hidden="1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hidden="1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hidden="1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hidden="1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hidden="1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hidden="1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hidden="1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hidden="1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hidden="1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hidden="1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hidden="1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hidden="1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hidden="1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hidden="1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hidden="1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hidden="1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hidden="1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hidden="1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hidden="1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hidden="1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hidden="1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hidden="1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hidden="1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hidden="1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hidden="1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hidden="1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hidden="1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hidden="1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hidden="1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hidden="1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hidden="1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hidden="1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hidden="1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hidden="1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hidden="1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hidden="1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hidden="1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hidden="1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hidden="1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hidden="1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hidden="1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hidden="1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hidden="1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hidden="1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hidden="1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hidden="1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hidden="1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hidden="1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hidden="1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hidden="1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hidden="1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hidden="1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hidden="1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hidden="1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hidden="1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hidden="1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hidden="1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hidden="1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hidden="1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hidden="1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hidden="1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hidden="1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hidden="1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hidden="1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hidden="1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hidden="1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hidden="1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hidden="1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hidden="1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hidden="1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hidden="1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hidden="1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hidden="1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hidden="1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hidden="1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hidden="1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hidden="1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hidden="1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hidden="1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hidden="1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hidden="1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hidden="1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hidden="1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hidden="1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hidden="1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hidden="1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hidden="1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hidden="1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hidden="1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hidden="1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hidden="1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hidden="1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hidden="1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hidden="1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hidden="1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hidden="1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hidden="1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hidden="1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hidden="1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hidden="1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hidden="1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hidden="1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hidden="1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hidden="1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hidden="1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hidden="1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hidden="1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hidden="1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hidden="1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hidden="1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hidden="1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hidden="1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hidden="1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hidden="1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hidden="1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hidden="1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hidden="1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hidden="1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hidden="1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hidden="1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hidden="1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hidden="1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hidden="1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hidden="1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hidden="1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hidden="1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hidden="1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hidden="1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hidden="1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hidden="1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hidden="1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hidden="1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hidden="1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hidden="1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hidden="1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hidden="1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hidden="1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hidden="1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hidden="1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hidden="1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hidden="1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hidden="1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hidden="1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hidden="1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hidden="1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hidden="1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hidden="1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hidden="1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hidden="1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hidden="1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hidden="1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hidden="1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hidden="1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hidden="1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hidden="1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hidden="1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hidden="1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hidden="1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hidden="1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hidden="1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hidden="1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hidden="1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hidden="1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hidden="1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autoFilter ref="A1:AD373" xr:uid="{6BC13C9F-C65C-4FE2-866E-BFBA5D43D335}">
    <filterColumn colId="1">
      <filters>
        <filter val="201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5D9C-C9E4-47BF-AF8C-9FE3718F4CE9}">
  <dimension ref="A47"/>
  <sheetViews>
    <sheetView showGridLines="0" topLeftCell="A4" workbookViewId="0">
      <selection activeCell="S24" sqref="S24"/>
    </sheetView>
  </sheetViews>
  <sheetFormatPr defaultRowHeight="14.4" x14ac:dyDescent="0.3"/>
  <sheetData>
    <row r="47" spans="1:1" ht="17.399999999999999" x14ac:dyDescent="0.3">
      <c r="A47" s="19" t="s">
        <v>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E0B3-5887-4A7B-807A-594DACA7EA2B}">
  <sheetPr>
    <tabColor rgb="FF00B050"/>
  </sheetPr>
  <dimension ref="A1:AH376"/>
  <sheetViews>
    <sheetView topLeftCell="K1" workbookViewId="0">
      <pane ySplit="1" topLeftCell="A2" activePane="bottomLeft" state="frozen"/>
      <selection pane="bottomLeft" activeCell="D227" sqref="D227"/>
    </sheetView>
  </sheetViews>
  <sheetFormatPr defaultRowHeight="14.4" x14ac:dyDescent="0.3"/>
  <cols>
    <col min="1" max="1" width="11.109375" bestFit="1" customWidth="1"/>
    <col min="2" max="2" width="6.88671875" bestFit="1" customWidth="1"/>
    <col min="3" max="3" width="9.77734375" bestFit="1" customWidth="1"/>
    <col min="4" max="4" width="20.5546875" bestFit="1" customWidth="1"/>
    <col min="5" max="5" width="13.88671875" bestFit="1" customWidth="1"/>
    <col min="6" max="6" width="12.5546875" bestFit="1" customWidth="1"/>
    <col min="7" max="7" width="17.44140625" bestFit="1" customWidth="1"/>
    <col min="8" max="8" width="13.109375" bestFit="1" customWidth="1"/>
    <col min="9" max="9" width="10.5546875" customWidth="1"/>
    <col min="10" max="10" width="12.5546875" bestFit="1" customWidth="1"/>
    <col min="11" max="11" width="19.6640625" bestFit="1" customWidth="1"/>
    <col min="12" max="12" width="23" bestFit="1" customWidth="1"/>
    <col min="13" max="13" width="12.5546875" bestFit="1" customWidth="1"/>
    <col min="14" max="14" width="23.44140625" bestFit="1" customWidth="1"/>
    <col min="15" max="15" width="33.109375" bestFit="1" customWidth="1"/>
    <col min="16" max="16" width="19.33203125" bestFit="1" customWidth="1"/>
    <col min="17" max="17" width="26.21875" bestFit="1" customWidth="1"/>
    <col min="18" max="18" width="32.33203125" bestFit="1" customWidth="1"/>
    <col min="19" max="20" width="12.5546875" bestFit="1" customWidth="1"/>
    <col min="21" max="21" width="20.88671875" bestFit="1" customWidth="1"/>
    <col min="22" max="22" width="26.21875" bestFit="1" customWidth="1"/>
    <col min="23" max="23" width="12.5546875" bestFit="1" customWidth="1"/>
    <col min="24" max="25" width="13" customWidth="1"/>
    <col min="26" max="26" width="13.77734375" bestFit="1" customWidth="1"/>
    <col min="27" max="27" width="27.88671875" bestFit="1" customWidth="1"/>
    <col min="28" max="28" width="27.5546875" bestFit="1" customWidth="1"/>
    <col min="29" max="29" width="25.6640625" bestFit="1" customWidth="1"/>
    <col min="30" max="30" width="24" bestFit="1" customWidth="1"/>
    <col min="31" max="33" width="18.6640625" bestFit="1" customWidth="1"/>
    <col min="34" max="34" width="14.332031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49</v>
      </c>
      <c r="R1" s="1" t="s">
        <v>56</v>
      </c>
      <c r="S1" t="s">
        <v>17</v>
      </c>
      <c r="T1" t="s">
        <v>18</v>
      </c>
      <c r="U1" t="s">
        <v>19</v>
      </c>
      <c r="V1" s="1" t="s">
        <v>51</v>
      </c>
      <c r="W1" t="s">
        <v>20</v>
      </c>
      <c r="X1" s="1" t="s">
        <v>55</v>
      </c>
      <c r="Y1" s="1" t="s">
        <v>54</v>
      </c>
      <c r="Z1" t="s">
        <v>21</v>
      </c>
      <c r="AA1" t="s">
        <v>22</v>
      </c>
      <c r="AB1" t="s">
        <v>24</v>
      </c>
      <c r="AC1" t="s">
        <v>25</v>
      </c>
      <c r="AD1" t="s">
        <v>27</v>
      </c>
      <c r="AE1" s="1" t="s">
        <v>52</v>
      </c>
      <c r="AF1" s="1" t="s">
        <v>53</v>
      </c>
      <c r="AG1" s="1" t="s">
        <v>28</v>
      </c>
      <c r="AH1" t="s">
        <v>29</v>
      </c>
    </row>
    <row r="2" spans="1:34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 s="3">
        <f>AVERAGE(D2:P2)</f>
        <v>105.5153846153846</v>
      </c>
      <c r="R2" s="3">
        <v>105.1</v>
      </c>
      <c r="S2">
        <v>106.5</v>
      </c>
      <c r="T2">
        <v>105.8</v>
      </c>
      <c r="U2">
        <v>106.4</v>
      </c>
      <c r="V2" s="3">
        <f>AVERAGE(S2:U2)</f>
        <v>106.23333333333335</v>
      </c>
      <c r="W2" t="s">
        <v>32</v>
      </c>
      <c r="X2" s="3">
        <f>IF(W2="NA",W3,W2)</f>
        <v>100.3</v>
      </c>
      <c r="Y2" s="3">
        <v>104</v>
      </c>
      <c r="Z2">
        <v>105.5</v>
      </c>
      <c r="AA2">
        <v>104.8</v>
      </c>
      <c r="AB2">
        <v>103.3</v>
      </c>
      <c r="AC2">
        <v>103.4</v>
      </c>
      <c r="AD2">
        <v>104.7</v>
      </c>
      <c r="AE2" s="3">
        <f>AVERAGE(Z2:AD2)</f>
        <v>104.34</v>
      </c>
      <c r="AF2" s="3">
        <v>103.8</v>
      </c>
      <c r="AG2" s="3">
        <v>104</v>
      </c>
      <c r="AH2">
        <v>105.1</v>
      </c>
    </row>
    <row r="3" spans="1:34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 s="3">
        <f t="shared" ref="Q3:Q66" si="0">AVERAGE(D3:P3)</f>
        <v>105.87692307692308</v>
      </c>
      <c r="R3" s="3">
        <v>105.2</v>
      </c>
      <c r="S3">
        <v>105.9</v>
      </c>
      <c r="T3">
        <v>105</v>
      </c>
      <c r="U3">
        <v>105.8</v>
      </c>
      <c r="V3" s="3">
        <f t="shared" ref="V3:V66" si="1">AVERAGE(S3:U3)</f>
        <v>105.56666666666666</v>
      </c>
      <c r="W3">
        <v>100.3</v>
      </c>
      <c r="X3" s="3">
        <f t="shared" ref="X3:X66" si="2">IF(W3="NA",W4,W3)</f>
        <v>100.3</v>
      </c>
      <c r="Y3" s="3">
        <v>104.1</v>
      </c>
      <c r="Z3">
        <v>105.4</v>
      </c>
      <c r="AA3">
        <v>104.8</v>
      </c>
      <c r="AB3">
        <v>103.2</v>
      </c>
      <c r="AC3">
        <v>102.9</v>
      </c>
      <c r="AD3">
        <v>104.3</v>
      </c>
      <c r="AE3" s="3">
        <f t="shared" ref="AE3:AE66" si="3">AVERAGE(Z3:AD3)</f>
        <v>104.11999999999998</v>
      </c>
      <c r="AF3" s="3">
        <v>103.5</v>
      </c>
      <c r="AG3" s="3">
        <v>103.7</v>
      </c>
      <c r="AH3">
        <v>104</v>
      </c>
    </row>
    <row r="4" spans="1:34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 s="3">
        <f t="shared" si="0"/>
        <v>105.63846153846156</v>
      </c>
      <c r="R4" s="3">
        <v>105.1</v>
      </c>
      <c r="S4">
        <v>106.3</v>
      </c>
      <c r="T4">
        <v>105.5</v>
      </c>
      <c r="U4">
        <v>106.2</v>
      </c>
      <c r="V4" s="3">
        <f t="shared" si="1"/>
        <v>106</v>
      </c>
      <c r="W4">
        <v>100.3</v>
      </c>
      <c r="X4" s="3">
        <f t="shared" si="2"/>
        <v>100.3</v>
      </c>
      <c r="Y4" s="3">
        <v>104</v>
      </c>
      <c r="Z4">
        <v>105.5</v>
      </c>
      <c r="AA4">
        <v>104.8</v>
      </c>
      <c r="AB4">
        <v>103.2</v>
      </c>
      <c r="AC4">
        <v>103.1</v>
      </c>
      <c r="AD4">
        <v>104.5</v>
      </c>
      <c r="AE4" s="3">
        <f t="shared" si="3"/>
        <v>104.22</v>
      </c>
      <c r="AF4" s="3">
        <v>103.6</v>
      </c>
      <c r="AG4" s="3">
        <v>103.9</v>
      </c>
      <c r="AH4">
        <v>104.6</v>
      </c>
    </row>
    <row r="5" spans="1:34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 s="3">
        <f t="shared" si="0"/>
        <v>106.18461538461537</v>
      </c>
      <c r="R5" s="3">
        <v>105.6</v>
      </c>
      <c r="S5">
        <v>107.1</v>
      </c>
      <c r="T5">
        <v>106.3</v>
      </c>
      <c r="U5">
        <v>107</v>
      </c>
      <c r="V5" s="3">
        <f t="shared" si="1"/>
        <v>106.8</v>
      </c>
      <c r="W5" t="s">
        <v>32</v>
      </c>
      <c r="X5" s="3">
        <f t="shared" si="2"/>
        <v>100.4</v>
      </c>
      <c r="Y5" s="3">
        <v>104.4</v>
      </c>
      <c r="Z5">
        <v>106.2</v>
      </c>
      <c r="AA5">
        <v>105.2</v>
      </c>
      <c r="AB5">
        <v>103.9</v>
      </c>
      <c r="AC5">
        <v>104</v>
      </c>
      <c r="AD5">
        <v>104.6</v>
      </c>
      <c r="AE5" s="3">
        <f t="shared" si="3"/>
        <v>104.78</v>
      </c>
      <c r="AF5" s="3">
        <v>104.1</v>
      </c>
      <c r="AG5" s="3">
        <v>104.4</v>
      </c>
      <c r="AH5">
        <v>105.8</v>
      </c>
    </row>
    <row r="6" spans="1:34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 s="3">
        <f t="shared" si="0"/>
        <v>106.96923076923078</v>
      </c>
      <c r="R6" s="3">
        <v>106</v>
      </c>
      <c r="S6">
        <v>106.6</v>
      </c>
      <c r="T6">
        <v>105.5</v>
      </c>
      <c r="U6">
        <v>106.4</v>
      </c>
      <c r="V6" s="3">
        <f t="shared" si="1"/>
        <v>106.16666666666667</v>
      </c>
      <c r="W6">
        <v>100.4</v>
      </c>
      <c r="X6" s="3">
        <f t="shared" si="2"/>
        <v>100.4</v>
      </c>
      <c r="Y6" s="3">
        <v>104.7</v>
      </c>
      <c r="Z6">
        <v>105.7</v>
      </c>
      <c r="AA6">
        <v>105.2</v>
      </c>
      <c r="AB6">
        <v>104.4</v>
      </c>
      <c r="AC6">
        <v>103.3</v>
      </c>
      <c r="AD6">
        <v>104.3</v>
      </c>
      <c r="AE6" s="3">
        <f t="shared" si="3"/>
        <v>104.58</v>
      </c>
      <c r="AF6" s="3">
        <v>103.7</v>
      </c>
      <c r="AG6" s="3">
        <v>104.3</v>
      </c>
      <c r="AH6">
        <v>104.7</v>
      </c>
    </row>
    <row r="7" spans="1:34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 s="3">
        <f t="shared" si="0"/>
        <v>106.47692307692309</v>
      </c>
      <c r="R7" s="3">
        <v>105.7</v>
      </c>
      <c r="S7">
        <v>106.9</v>
      </c>
      <c r="T7">
        <v>106</v>
      </c>
      <c r="U7">
        <v>106.8</v>
      </c>
      <c r="V7" s="3">
        <f t="shared" si="1"/>
        <v>106.56666666666666</v>
      </c>
      <c r="W7">
        <v>100.4</v>
      </c>
      <c r="X7" s="3">
        <f t="shared" si="2"/>
        <v>100.4</v>
      </c>
      <c r="Y7" s="3">
        <v>104.5</v>
      </c>
      <c r="Z7">
        <v>106</v>
      </c>
      <c r="AA7">
        <v>105.2</v>
      </c>
      <c r="AB7">
        <v>104.2</v>
      </c>
      <c r="AC7">
        <v>103.6</v>
      </c>
      <c r="AD7">
        <v>104.5</v>
      </c>
      <c r="AE7" s="3">
        <f t="shared" si="3"/>
        <v>104.7</v>
      </c>
      <c r="AF7" s="3">
        <v>103.9</v>
      </c>
      <c r="AG7" s="3">
        <v>104.4</v>
      </c>
      <c r="AH7">
        <v>105.3</v>
      </c>
    </row>
    <row r="8" spans="1:34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 s="3">
        <f t="shared" si="0"/>
        <v>106.32307692307693</v>
      </c>
      <c r="R8" s="3">
        <v>106.5</v>
      </c>
      <c r="S8">
        <v>107.6</v>
      </c>
      <c r="T8">
        <v>106.8</v>
      </c>
      <c r="U8">
        <v>107.5</v>
      </c>
      <c r="V8" s="3">
        <f t="shared" si="1"/>
        <v>107.3</v>
      </c>
      <c r="W8" t="s">
        <v>32</v>
      </c>
      <c r="X8" s="3">
        <f t="shared" si="2"/>
        <v>100.4</v>
      </c>
      <c r="Y8" s="3">
        <v>104.7</v>
      </c>
      <c r="Z8">
        <v>106.1</v>
      </c>
      <c r="AA8">
        <v>105.6</v>
      </c>
      <c r="AB8">
        <v>104.6</v>
      </c>
      <c r="AC8">
        <v>104</v>
      </c>
      <c r="AD8">
        <v>104.3</v>
      </c>
      <c r="AE8" s="3">
        <f t="shared" si="3"/>
        <v>104.91999999999999</v>
      </c>
      <c r="AF8" s="3">
        <v>104.3</v>
      </c>
      <c r="AG8" s="3">
        <v>104.6</v>
      </c>
      <c r="AH8">
        <v>106</v>
      </c>
    </row>
    <row r="9" spans="1:34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 s="3">
        <f t="shared" si="0"/>
        <v>106.67692307692307</v>
      </c>
      <c r="R9" s="3">
        <v>106.8</v>
      </c>
      <c r="S9">
        <v>107.2</v>
      </c>
      <c r="T9">
        <v>106</v>
      </c>
      <c r="U9">
        <v>107</v>
      </c>
      <c r="V9" s="3">
        <f t="shared" si="1"/>
        <v>106.73333333333333</v>
      </c>
      <c r="W9">
        <v>100.4</v>
      </c>
      <c r="X9" s="3">
        <f t="shared" si="2"/>
        <v>100.4</v>
      </c>
      <c r="Y9" s="3">
        <v>105.2</v>
      </c>
      <c r="Z9">
        <v>106</v>
      </c>
      <c r="AA9">
        <v>105.7</v>
      </c>
      <c r="AB9">
        <v>105.5</v>
      </c>
      <c r="AC9">
        <v>103.5</v>
      </c>
      <c r="AD9">
        <v>104.2</v>
      </c>
      <c r="AE9" s="3">
        <f t="shared" si="3"/>
        <v>104.97999999999999</v>
      </c>
      <c r="AF9" s="3">
        <v>103.8</v>
      </c>
      <c r="AG9" s="3">
        <v>104.9</v>
      </c>
      <c r="AH9">
        <v>105</v>
      </c>
    </row>
    <row r="10" spans="1:34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 s="3">
        <f t="shared" si="0"/>
        <v>106.46153846153848</v>
      </c>
      <c r="R10" s="3">
        <v>106.6</v>
      </c>
      <c r="S10">
        <v>107.4</v>
      </c>
      <c r="T10">
        <v>106.5</v>
      </c>
      <c r="U10">
        <v>107.3</v>
      </c>
      <c r="V10" s="3">
        <f t="shared" si="1"/>
        <v>107.06666666666666</v>
      </c>
      <c r="W10">
        <v>100.4</v>
      </c>
      <c r="X10" s="3">
        <f t="shared" si="2"/>
        <v>100.4</v>
      </c>
      <c r="Y10" s="3">
        <v>104.9</v>
      </c>
      <c r="Z10">
        <v>106.1</v>
      </c>
      <c r="AA10">
        <v>105.6</v>
      </c>
      <c r="AB10">
        <v>105.1</v>
      </c>
      <c r="AC10">
        <v>103.7</v>
      </c>
      <c r="AD10">
        <v>104.3</v>
      </c>
      <c r="AE10" s="3">
        <f t="shared" si="3"/>
        <v>104.96</v>
      </c>
      <c r="AF10" s="3">
        <v>104</v>
      </c>
      <c r="AG10" s="3">
        <v>104.7</v>
      </c>
      <c r="AH10">
        <v>105.5</v>
      </c>
    </row>
    <row r="11" spans="1:34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 s="3">
        <f t="shared" si="0"/>
        <v>106.6</v>
      </c>
      <c r="R11" s="3">
        <v>107.1</v>
      </c>
      <c r="S11">
        <v>108.1</v>
      </c>
      <c r="T11">
        <v>107.4</v>
      </c>
      <c r="U11">
        <v>108</v>
      </c>
      <c r="V11" s="3">
        <f t="shared" si="1"/>
        <v>107.83333333333333</v>
      </c>
      <c r="W11" t="s">
        <v>32</v>
      </c>
      <c r="X11" s="3">
        <f t="shared" si="2"/>
        <v>100.5</v>
      </c>
      <c r="Y11" s="3">
        <v>105.1</v>
      </c>
      <c r="Z11">
        <v>106.5</v>
      </c>
      <c r="AA11">
        <v>106.1</v>
      </c>
      <c r="AB11">
        <v>104.4</v>
      </c>
      <c r="AC11">
        <v>104.5</v>
      </c>
      <c r="AD11">
        <v>102.7</v>
      </c>
      <c r="AE11" s="3">
        <f t="shared" si="3"/>
        <v>104.84</v>
      </c>
      <c r="AF11" s="3">
        <v>104.8</v>
      </c>
      <c r="AG11" s="3">
        <v>104.6</v>
      </c>
      <c r="AH11">
        <v>106.4</v>
      </c>
    </row>
    <row r="12" spans="1:34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 s="3">
        <f t="shared" si="0"/>
        <v>107.5153846153846</v>
      </c>
      <c r="R12" s="3">
        <v>108.5</v>
      </c>
      <c r="S12">
        <v>107.9</v>
      </c>
      <c r="T12">
        <v>106.4</v>
      </c>
      <c r="U12">
        <v>107.7</v>
      </c>
      <c r="V12" s="3">
        <f t="shared" si="1"/>
        <v>107.33333333333333</v>
      </c>
      <c r="W12">
        <v>100.5</v>
      </c>
      <c r="X12" s="3">
        <f t="shared" si="2"/>
        <v>100.5</v>
      </c>
      <c r="Y12" s="3">
        <v>105.7</v>
      </c>
      <c r="Z12">
        <v>106.4</v>
      </c>
      <c r="AA12">
        <v>106.5</v>
      </c>
      <c r="AB12">
        <v>105</v>
      </c>
      <c r="AC12">
        <v>104</v>
      </c>
      <c r="AD12">
        <v>103.2</v>
      </c>
      <c r="AE12" s="3">
        <f t="shared" si="3"/>
        <v>105.02000000000001</v>
      </c>
      <c r="AF12" s="3">
        <v>105.2</v>
      </c>
      <c r="AG12" s="3">
        <v>105.1</v>
      </c>
      <c r="AH12">
        <v>105.7</v>
      </c>
    </row>
    <row r="13" spans="1:34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 s="3">
        <f t="shared" si="0"/>
        <v>106.93846153846154</v>
      </c>
      <c r="R13" s="3">
        <v>107.5</v>
      </c>
      <c r="S13">
        <v>108</v>
      </c>
      <c r="T13">
        <v>107</v>
      </c>
      <c r="U13">
        <v>107.9</v>
      </c>
      <c r="V13" s="3">
        <f t="shared" si="1"/>
        <v>107.63333333333333</v>
      </c>
      <c r="W13">
        <v>100.5</v>
      </c>
      <c r="X13" s="3">
        <f t="shared" si="2"/>
        <v>100.5</v>
      </c>
      <c r="Y13" s="3">
        <v>105.3</v>
      </c>
      <c r="Z13">
        <v>106.5</v>
      </c>
      <c r="AA13">
        <v>106.3</v>
      </c>
      <c r="AB13">
        <v>104.7</v>
      </c>
      <c r="AC13">
        <v>104.2</v>
      </c>
      <c r="AD13">
        <v>102.9</v>
      </c>
      <c r="AE13" s="3">
        <f t="shared" si="3"/>
        <v>104.92</v>
      </c>
      <c r="AF13" s="3">
        <v>105</v>
      </c>
      <c r="AG13" s="3">
        <v>104.8</v>
      </c>
      <c r="AH13">
        <v>106.1</v>
      </c>
    </row>
    <row r="14" spans="1:34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 s="3">
        <f t="shared" si="0"/>
        <v>107.23076923076923</v>
      </c>
      <c r="R14" s="3">
        <v>108.1</v>
      </c>
      <c r="S14">
        <v>108.8</v>
      </c>
      <c r="T14">
        <v>107.9</v>
      </c>
      <c r="U14">
        <v>108.6</v>
      </c>
      <c r="V14" s="3">
        <f t="shared" si="1"/>
        <v>108.43333333333332</v>
      </c>
      <c r="W14" t="s">
        <v>32</v>
      </c>
      <c r="X14" s="3">
        <f t="shared" si="2"/>
        <v>100.5</v>
      </c>
      <c r="Y14" s="3">
        <v>105.7</v>
      </c>
      <c r="Z14">
        <v>107.5</v>
      </c>
      <c r="AA14">
        <v>106.8</v>
      </c>
      <c r="AB14">
        <v>104.1</v>
      </c>
      <c r="AC14">
        <v>105</v>
      </c>
      <c r="AD14">
        <v>102.1</v>
      </c>
      <c r="AE14" s="3">
        <f t="shared" si="3"/>
        <v>105.1</v>
      </c>
      <c r="AF14" s="3">
        <v>105.5</v>
      </c>
      <c r="AG14" s="3">
        <v>104.8</v>
      </c>
      <c r="AH14">
        <v>107.2</v>
      </c>
    </row>
    <row r="15" spans="1:34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 s="3">
        <f t="shared" si="0"/>
        <v>109.0153846153846</v>
      </c>
      <c r="R15" s="3">
        <v>109.8</v>
      </c>
      <c r="S15">
        <v>108.5</v>
      </c>
      <c r="T15">
        <v>106.7</v>
      </c>
      <c r="U15">
        <v>108.3</v>
      </c>
      <c r="V15" s="3">
        <f t="shared" si="1"/>
        <v>107.83333333333333</v>
      </c>
      <c r="W15">
        <v>100.5</v>
      </c>
      <c r="X15" s="3">
        <f t="shared" si="2"/>
        <v>100.5</v>
      </c>
      <c r="Y15" s="3">
        <v>106.2</v>
      </c>
      <c r="Z15">
        <v>107.2</v>
      </c>
      <c r="AA15">
        <v>107.1</v>
      </c>
      <c r="AB15">
        <v>103.9</v>
      </c>
      <c r="AC15">
        <v>104.6</v>
      </c>
      <c r="AD15">
        <v>102.6</v>
      </c>
      <c r="AE15" s="3">
        <f t="shared" si="3"/>
        <v>105.08000000000001</v>
      </c>
      <c r="AF15" s="3">
        <v>105.7</v>
      </c>
      <c r="AG15" s="3">
        <v>104.9</v>
      </c>
      <c r="AH15">
        <v>106.6</v>
      </c>
    </row>
    <row r="16" spans="1:34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 s="3">
        <f t="shared" si="0"/>
        <v>107.86153846153844</v>
      </c>
      <c r="R16" s="3">
        <v>108.6</v>
      </c>
      <c r="S16">
        <v>108.7</v>
      </c>
      <c r="T16">
        <v>107.4</v>
      </c>
      <c r="U16">
        <v>108.5</v>
      </c>
      <c r="V16" s="3">
        <f t="shared" si="1"/>
        <v>108.2</v>
      </c>
      <c r="W16">
        <v>100.5</v>
      </c>
      <c r="X16" s="3">
        <f t="shared" si="2"/>
        <v>100.5</v>
      </c>
      <c r="Y16" s="3">
        <v>105.9</v>
      </c>
      <c r="Z16">
        <v>107.4</v>
      </c>
      <c r="AA16">
        <v>106.9</v>
      </c>
      <c r="AB16">
        <v>104</v>
      </c>
      <c r="AC16">
        <v>104.8</v>
      </c>
      <c r="AD16">
        <v>102.3</v>
      </c>
      <c r="AE16" s="3">
        <f t="shared" si="3"/>
        <v>105.08</v>
      </c>
      <c r="AF16" s="3">
        <v>105.6</v>
      </c>
      <c r="AG16" s="3">
        <v>104.8</v>
      </c>
      <c r="AH16">
        <v>106.9</v>
      </c>
    </row>
    <row r="17" spans="1:34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 s="3">
        <f t="shared" si="0"/>
        <v>109.23076923076923</v>
      </c>
      <c r="R17" s="3">
        <v>109</v>
      </c>
      <c r="S17">
        <v>109.7</v>
      </c>
      <c r="T17">
        <v>108.8</v>
      </c>
      <c r="U17">
        <v>109.5</v>
      </c>
      <c r="V17" s="3">
        <f t="shared" si="1"/>
        <v>109.33333333333333</v>
      </c>
      <c r="W17" t="s">
        <v>32</v>
      </c>
      <c r="X17" s="3">
        <f t="shared" si="2"/>
        <v>106.6</v>
      </c>
      <c r="Y17" s="3">
        <v>106.3</v>
      </c>
      <c r="Z17">
        <v>108.5</v>
      </c>
      <c r="AA17">
        <v>107.5</v>
      </c>
      <c r="AB17">
        <v>105</v>
      </c>
      <c r="AC17">
        <v>105.6</v>
      </c>
      <c r="AD17">
        <v>102.5</v>
      </c>
      <c r="AE17" s="3">
        <f t="shared" si="3"/>
        <v>105.82000000000001</v>
      </c>
      <c r="AF17" s="3">
        <v>106.5</v>
      </c>
      <c r="AG17" s="3">
        <v>105.5</v>
      </c>
      <c r="AH17">
        <v>108.9</v>
      </c>
    </row>
    <row r="18" spans="1:34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 s="3">
        <f t="shared" si="0"/>
        <v>112.66153846153847</v>
      </c>
      <c r="R18" s="3">
        <v>110.9</v>
      </c>
      <c r="S18">
        <v>109.2</v>
      </c>
      <c r="T18">
        <v>107.2</v>
      </c>
      <c r="U18">
        <v>108.9</v>
      </c>
      <c r="V18" s="3">
        <f t="shared" si="1"/>
        <v>108.43333333333334</v>
      </c>
      <c r="W18">
        <v>106.6</v>
      </c>
      <c r="X18" s="3">
        <f t="shared" si="2"/>
        <v>106.6</v>
      </c>
      <c r="Y18" s="3">
        <v>106.5</v>
      </c>
      <c r="Z18">
        <v>108</v>
      </c>
      <c r="AA18">
        <v>107.7</v>
      </c>
      <c r="AB18">
        <v>105.2</v>
      </c>
      <c r="AC18">
        <v>105.2</v>
      </c>
      <c r="AD18">
        <v>103.3</v>
      </c>
      <c r="AE18" s="3">
        <f t="shared" si="3"/>
        <v>105.88</v>
      </c>
      <c r="AF18" s="3">
        <v>108.1</v>
      </c>
      <c r="AG18" s="3">
        <v>106.1</v>
      </c>
      <c r="AH18">
        <v>109.7</v>
      </c>
    </row>
    <row r="19" spans="1:34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 s="3">
        <f t="shared" si="0"/>
        <v>110.46153846153847</v>
      </c>
      <c r="R19" s="3">
        <v>109.5</v>
      </c>
      <c r="S19">
        <v>109.5</v>
      </c>
      <c r="T19">
        <v>108.1</v>
      </c>
      <c r="U19">
        <v>109.3</v>
      </c>
      <c r="V19" s="3">
        <f t="shared" si="1"/>
        <v>108.96666666666665</v>
      </c>
      <c r="W19">
        <v>106.6</v>
      </c>
      <c r="X19" s="3">
        <f t="shared" si="2"/>
        <v>106.6</v>
      </c>
      <c r="Y19" s="3">
        <v>106.4</v>
      </c>
      <c r="Z19">
        <v>108.3</v>
      </c>
      <c r="AA19">
        <v>107.6</v>
      </c>
      <c r="AB19">
        <v>105.1</v>
      </c>
      <c r="AC19">
        <v>105.4</v>
      </c>
      <c r="AD19">
        <v>102.8</v>
      </c>
      <c r="AE19" s="3">
        <f t="shared" si="3"/>
        <v>105.83999999999999</v>
      </c>
      <c r="AF19" s="3">
        <v>107.4</v>
      </c>
      <c r="AG19" s="3">
        <v>105.8</v>
      </c>
      <c r="AH19">
        <v>109.3</v>
      </c>
    </row>
    <row r="20" spans="1:34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 s="3">
        <f t="shared" si="0"/>
        <v>111.22307692307689</v>
      </c>
      <c r="R20" s="3">
        <v>109.8</v>
      </c>
      <c r="S20">
        <v>110.5</v>
      </c>
      <c r="T20">
        <v>109.5</v>
      </c>
      <c r="U20">
        <v>110.3</v>
      </c>
      <c r="V20" s="3">
        <f t="shared" si="1"/>
        <v>110.10000000000001</v>
      </c>
      <c r="W20" t="s">
        <v>32</v>
      </c>
      <c r="X20" s="3">
        <f t="shared" si="2"/>
        <v>107.7</v>
      </c>
      <c r="Y20" s="3">
        <v>106.9</v>
      </c>
      <c r="Z20">
        <v>109.5</v>
      </c>
      <c r="AA20">
        <v>108.3</v>
      </c>
      <c r="AB20">
        <v>106.8</v>
      </c>
      <c r="AC20">
        <v>106.4</v>
      </c>
      <c r="AD20">
        <v>102.5</v>
      </c>
      <c r="AE20" s="3">
        <f t="shared" si="3"/>
        <v>106.7</v>
      </c>
      <c r="AF20" s="3">
        <v>107.8</v>
      </c>
      <c r="AG20" s="3">
        <v>106.5</v>
      </c>
      <c r="AH20">
        <v>110.7</v>
      </c>
    </row>
    <row r="21" spans="1:34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 s="3">
        <f t="shared" si="0"/>
        <v>114.56923076923077</v>
      </c>
      <c r="R21" s="3">
        <v>111.7</v>
      </c>
      <c r="S21">
        <v>109.8</v>
      </c>
      <c r="T21">
        <v>107.8</v>
      </c>
      <c r="U21">
        <v>109.5</v>
      </c>
      <c r="V21" s="3">
        <f t="shared" si="1"/>
        <v>109.03333333333335</v>
      </c>
      <c r="W21">
        <v>107.7</v>
      </c>
      <c r="X21" s="3">
        <f t="shared" si="2"/>
        <v>107.7</v>
      </c>
      <c r="Y21" s="3">
        <v>107.1</v>
      </c>
      <c r="Z21">
        <v>108.6</v>
      </c>
      <c r="AA21">
        <v>108.1</v>
      </c>
      <c r="AB21">
        <v>107.3</v>
      </c>
      <c r="AC21">
        <v>105.9</v>
      </c>
      <c r="AD21">
        <v>103.2</v>
      </c>
      <c r="AE21" s="3">
        <f t="shared" si="3"/>
        <v>106.62</v>
      </c>
      <c r="AF21" s="3">
        <v>110.1</v>
      </c>
      <c r="AG21" s="3">
        <v>107.3</v>
      </c>
      <c r="AH21">
        <v>111.4</v>
      </c>
    </row>
    <row r="22" spans="1:34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 s="3">
        <f t="shared" si="0"/>
        <v>112.41538461538461</v>
      </c>
      <c r="R22" s="3">
        <v>110.3</v>
      </c>
      <c r="S22">
        <v>110.2</v>
      </c>
      <c r="T22">
        <v>108.8</v>
      </c>
      <c r="U22">
        <v>110</v>
      </c>
      <c r="V22" s="3">
        <f t="shared" si="1"/>
        <v>109.66666666666667</v>
      </c>
      <c r="W22">
        <v>107.7</v>
      </c>
      <c r="X22" s="3">
        <f t="shared" si="2"/>
        <v>107.7</v>
      </c>
      <c r="Y22" s="3">
        <v>107</v>
      </c>
      <c r="Z22">
        <v>109.2</v>
      </c>
      <c r="AA22">
        <v>108.2</v>
      </c>
      <c r="AB22">
        <v>107.1</v>
      </c>
      <c r="AC22">
        <v>106.1</v>
      </c>
      <c r="AD22">
        <v>102.8</v>
      </c>
      <c r="AE22" s="3">
        <f t="shared" si="3"/>
        <v>106.67999999999999</v>
      </c>
      <c r="AF22" s="3">
        <v>109.1</v>
      </c>
      <c r="AG22" s="3">
        <v>106.9</v>
      </c>
      <c r="AH22">
        <v>111</v>
      </c>
    </row>
    <row r="23" spans="1:34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 s="3">
        <f t="shared" si="0"/>
        <v>112.5</v>
      </c>
      <c r="R23" s="3">
        <v>110.7</v>
      </c>
      <c r="S23">
        <v>111.3</v>
      </c>
      <c r="T23">
        <v>110.2</v>
      </c>
      <c r="U23">
        <v>111.1</v>
      </c>
      <c r="V23" s="3">
        <f t="shared" si="1"/>
        <v>110.86666666666667</v>
      </c>
      <c r="W23" t="s">
        <v>32</v>
      </c>
      <c r="X23" s="3">
        <f t="shared" si="2"/>
        <v>108.9</v>
      </c>
      <c r="Y23" s="3">
        <v>107.5</v>
      </c>
      <c r="Z23">
        <v>109.9</v>
      </c>
      <c r="AA23">
        <v>108.7</v>
      </c>
      <c r="AB23">
        <v>107.8</v>
      </c>
      <c r="AC23">
        <v>106.8</v>
      </c>
      <c r="AD23">
        <v>105</v>
      </c>
      <c r="AE23" s="3">
        <f t="shared" si="3"/>
        <v>107.64000000000001</v>
      </c>
      <c r="AF23" s="3">
        <v>108.7</v>
      </c>
      <c r="AG23" s="3">
        <v>107.5</v>
      </c>
      <c r="AH23">
        <v>112.1</v>
      </c>
    </row>
    <row r="24" spans="1:34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 s="3">
        <f t="shared" si="0"/>
        <v>115.85384615384616</v>
      </c>
      <c r="R24" s="3">
        <v>112.4</v>
      </c>
      <c r="S24">
        <v>110.6</v>
      </c>
      <c r="T24">
        <v>108.3</v>
      </c>
      <c r="U24">
        <v>110.2</v>
      </c>
      <c r="V24" s="3">
        <f t="shared" si="1"/>
        <v>109.69999999999999</v>
      </c>
      <c r="W24">
        <v>108.9</v>
      </c>
      <c r="X24" s="3">
        <f t="shared" si="2"/>
        <v>108.9</v>
      </c>
      <c r="Y24" s="3">
        <v>107.6</v>
      </c>
      <c r="Z24">
        <v>109.3</v>
      </c>
      <c r="AA24">
        <v>108.7</v>
      </c>
      <c r="AB24">
        <v>108.1</v>
      </c>
      <c r="AC24">
        <v>106.5</v>
      </c>
      <c r="AD24">
        <v>106</v>
      </c>
      <c r="AE24" s="3">
        <f t="shared" si="3"/>
        <v>107.72</v>
      </c>
      <c r="AF24" s="3">
        <v>110.8</v>
      </c>
      <c r="AG24" s="3">
        <v>108.3</v>
      </c>
      <c r="AH24">
        <v>112.7</v>
      </c>
    </row>
    <row r="25" spans="1:34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 s="3">
        <f t="shared" si="0"/>
        <v>113.64615384615385</v>
      </c>
      <c r="R25" s="3">
        <v>111.2</v>
      </c>
      <c r="S25">
        <v>111</v>
      </c>
      <c r="T25">
        <v>109.4</v>
      </c>
      <c r="U25">
        <v>110.7</v>
      </c>
      <c r="V25" s="3">
        <f t="shared" si="1"/>
        <v>110.36666666666667</v>
      </c>
      <c r="W25">
        <v>108.9</v>
      </c>
      <c r="X25" s="3">
        <f t="shared" si="2"/>
        <v>108.9</v>
      </c>
      <c r="Y25" s="3">
        <v>107.5</v>
      </c>
      <c r="Z25">
        <v>109.7</v>
      </c>
      <c r="AA25">
        <v>108.7</v>
      </c>
      <c r="AB25">
        <v>108</v>
      </c>
      <c r="AC25">
        <v>106.6</v>
      </c>
      <c r="AD25">
        <v>105.4</v>
      </c>
      <c r="AE25" s="3">
        <f t="shared" si="3"/>
        <v>107.67999999999999</v>
      </c>
      <c r="AF25" s="3">
        <v>109.9</v>
      </c>
      <c r="AG25" s="3">
        <v>107.9</v>
      </c>
      <c r="AH25">
        <v>112.4</v>
      </c>
    </row>
    <row r="26" spans="1:34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 s="3">
        <f t="shared" si="0"/>
        <v>114.50000000000001</v>
      </c>
      <c r="R26" s="3">
        <v>111.7</v>
      </c>
      <c r="S26">
        <v>112.7</v>
      </c>
      <c r="T26">
        <v>111.4</v>
      </c>
      <c r="U26">
        <v>112.5</v>
      </c>
      <c r="V26" s="3">
        <f t="shared" si="1"/>
        <v>112.2</v>
      </c>
      <c r="W26" t="s">
        <v>32</v>
      </c>
      <c r="X26" s="3">
        <f t="shared" si="2"/>
        <v>109.7</v>
      </c>
      <c r="Y26" s="3">
        <v>108.3</v>
      </c>
      <c r="Z26">
        <v>111.1</v>
      </c>
      <c r="AA26">
        <v>109.6</v>
      </c>
      <c r="AB26">
        <v>109.3</v>
      </c>
      <c r="AC26">
        <v>107.7</v>
      </c>
      <c r="AD26">
        <v>106.7</v>
      </c>
      <c r="AE26" s="3">
        <f t="shared" si="3"/>
        <v>108.88</v>
      </c>
      <c r="AF26" s="3">
        <v>109.8</v>
      </c>
      <c r="AG26" s="3">
        <v>108.7</v>
      </c>
      <c r="AH26">
        <v>114.2</v>
      </c>
    </row>
    <row r="27" spans="1:34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 s="3">
        <f t="shared" si="0"/>
        <v>115.41538461538462</v>
      </c>
      <c r="R27" s="3">
        <v>112.9</v>
      </c>
      <c r="S27">
        <v>111.4</v>
      </c>
      <c r="T27">
        <v>109</v>
      </c>
      <c r="U27">
        <v>111.1</v>
      </c>
      <c r="V27" s="3">
        <f t="shared" si="1"/>
        <v>110.5</v>
      </c>
      <c r="W27">
        <v>109.7</v>
      </c>
      <c r="X27" s="3">
        <f t="shared" si="2"/>
        <v>109.7</v>
      </c>
      <c r="Y27" s="3">
        <v>107.9</v>
      </c>
      <c r="Z27">
        <v>109.5</v>
      </c>
      <c r="AA27">
        <v>109.6</v>
      </c>
      <c r="AB27">
        <v>110.4</v>
      </c>
      <c r="AC27">
        <v>107.4</v>
      </c>
      <c r="AD27">
        <v>106.9</v>
      </c>
      <c r="AE27" s="3">
        <f t="shared" si="3"/>
        <v>108.75999999999999</v>
      </c>
      <c r="AF27" s="3">
        <v>111.2</v>
      </c>
      <c r="AG27" s="3">
        <v>109.4</v>
      </c>
      <c r="AH27">
        <v>113.2</v>
      </c>
    </row>
    <row r="28" spans="1:34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 s="3">
        <f t="shared" si="0"/>
        <v>114.74615384615383</v>
      </c>
      <c r="R28" s="3">
        <v>112</v>
      </c>
      <c r="S28">
        <v>112.2</v>
      </c>
      <c r="T28">
        <v>110.4</v>
      </c>
      <c r="U28">
        <v>111.9</v>
      </c>
      <c r="V28" s="3">
        <f t="shared" si="1"/>
        <v>111.5</v>
      </c>
      <c r="W28">
        <v>109.7</v>
      </c>
      <c r="X28" s="3">
        <f t="shared" si="2"/>
        <v>109.7</v>
      </c>
      <c r="Y28" s="3">
        <v>108.1</v>
      </c>
      <c r="Z28">
        <v>110.5</v>
      </c>
      <c r="AA28">
        <v>109.6</v>
      </c>
      <c r="AB28">
        <v>109.9</v>
      </c>
      <c r="AC28">
        <v>107.5</v>
      </c>
      <c r="AD28">
        <v>106.8</v>
      </c>
      <c r="AE28" s="3">
        <f t="shared" si="3"/>
        <v>108.85999999999999</v>
      </c>
      <c r="AF28" s="3">
        <v>110.6</v>
      </c>
      <c r="AG28" s="3">
        <v>109</v>
      </c>
      <c r="AH28">
        <v>113.7</v>
      </c>
    </row>
    <row r="29" spans="1:34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 s="3">
        <f t="shared" si="0"/>
        <v>116</v>
      </c>
      <c r="R29" s="3">
        <v>112.2</v>
      </c>
      <c r="S29">
        <v>113.6</v>
      </c>
      <c r="T29">
        <v>112.3</v>
      </c>
      <c r="U29">
        <v>113.4</v>
      </c>
      <c r="V29" s="3">
        <f t="shared" si="1"/>
        <v>113.09999999999998</v>
      </c>
      <c r="W29" t="s">
        <v>32</v>
      </c>
      <c r="X29" s="3">
        <f t="shared" si="2"/>
        <v>110.5</v>
      </c>
      <c r="Y29" s="3">
        <v>108.9</v>
      </c>
      <c r="Z29">
        <v>111.6</v>
      </c>
      <c r="AA29">
        <v>110.4</v>
      </c>
      <c r="AB29">
        <v>109.3</v>
      </c>
      <c r="AC29">
        <v>108.3</v>
      </c>
      <c r="AD29">
        <v>107.5</v>
      </c>
      <c r="AE29" s="3">
        <f t="shared" si="3"/>
        <v>109.42</v>
      </c>
      <c r="AF29" s="3">
        <v>110.2</v>
      </c>
      <c r="AG29" s="3">
        <v>109.1</v>
      </c>
      <c r="AH29">
        <v>115.5</v>
      </c>
    </row>
    <row r="30" spans="1:34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 s="3">
        <f t="shared" si="0"/>
        <v>116.7076923076923</v>
      </c>
      <c r="R30" s="3">
        <v>113.5</v>
      </c>
      <c r="S30">
        <v>112.5</v>
      </c>
      <c r="T30">
        <v>109.7</v>
      </c>
      <c r="U30">
        <v>112</v>
      </c>
      <c r="V30" s="3">
        <f t="shared" si="1"/>
        <v>111.39999999999999</v>
      </c>
      <c r="W30">
        <v>110.5</v>
      </c>
      <c r="X30" s="3">
        <f t="shared" si="2"/>
        <v>110.5</v>
      </c>
      <c r="Y30" s="3">
        <v>108.2</v>
      </c>
      <c r="Z30">
        <v>109.7</v>
      </c>
      <c r="AA30">
        <v>110.2</v>
      </c>
      <c r="AB30">
        <v>109.7</v>
      </c>
      <c r="AC30">
        <v>108</v>
      </c>
      <c r="AD30">
        <v>107.3</v>
      </c>
      <c r="AE30" s="3">
        <f t="shared" si="3"/>
        <v>108.97999999999999</v>
      </c>
      <c r="AF30" s="3">
        <v>111.3</v>
      </c>
      <c r="AG30" s="3">
        <v>109.4</v>
      </c>
      <c r="AH30">
        <v>114</v>
      </c>
    </row>
    <row r="31" spans="1:34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 s="3">
        <f t="shared" si="0"/>
        <v>116.16923076923079</v>
      </c>
      <c r="R31" s="3">
        <v>112.5</v>
      </c>
      <c r="S31">
        <v>113.2</v>
      </c>
      <c r="T31">
        <v>111.2</v>
      </c>
      <c r="U31">
        <v>112.8</v>
      </c>
      <c r="V31" s="3">
        <f t="shared" si="1"/>
        <v>112.39999999999999</v>
      </c>
      <c r="W31">
        <v>110.5</v>
      </c>
      <c r="X31" s="3">
        <f t="shared" si="2"/>
        <v>110.5</v>
      </c>
      <c r="Y31" s="3">
        <v>108.6</v>
      </c>
      <c r="Z31">
        <v>110.9</v>
      </c>
      <c r="AA31">
        <v>110.3</v>
      </c>
      <c r="AB31">
        <v>109.5</v>
      </c>
      <c r="AC31">
        <v>108.1</v>
      </c>
      <c r="AD31">
        <v>107.4</v>
      </c>
      <c r="AE31" s="3">
        <f t="shared" si="3"/>
        <v>109.23999999999998</v>
      </c>
      <c r="AF31" s="3">
        <v>110.8</v>
      </c>
      <c r="AG31" s="3">
        <v>109.2</v>
      </c>
      <c r="AH31">
        <v>114.8</v>
      </c>
    </row>
    <row r="32" spans="1:34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 s="3">
        <f t="shared" si="0"/>
        <v>118.21538461538461</v>
      </c>
      <c r="R32" s="3">
        <v>112.8</v>
      </c>
      <c r="S32">
        <v>114.6</v>
      </c>
      <c r="T32">
        <v>113.1</v>
      </c>
      <c r="U32">
        <v>114.4</v>
      </c>
      <c r="V32" s="3">
        <f t="shared" si="1"/>
        <v>114.03333333333335</v>
      </c>
      <c r="W32" t="s">
        <v>32</v>
      </c>
      <c r="X32" s="3">
        <f t="shared" si="2"/>
        <v>111.1</v>
      </c>
      <c r="Y32" s="3">
        <v>109.7</v>
      </c>
      <c r="Z32">
        <v>112.6</v>
      </c>
      <c r="AA32">
        <v>111.3</v>
      </c>
      <c r="AB32">
        <v>109.6</v>
      </c>
      <c r="AC32">
        <v>108.7</v>
      </c>
      <c r="AD32">
        <v>108.2</v>
      </c>
      <c r="AE32" s="3">
        <f t="shared" si="3"/>
        <v>110.08</v>
      </c>
      <c r="AF32" s="3">
        <v>111</v>
      </c>
      <c r="AG32" s="3">
        <v>109.8</v>
      </c>
      <c r="AH32">
        <v>117.4</v>
      </c>
    </row>
    <row r="33" spans="1:34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 s="3">
        <f t="shared" si="0"/>
        <v>118.8153846153846</v>
      </c>
      <c r="R33" s="3">
        <v>114.1</v>
      </c>
      <c r="S33">
        <v>113.5</v>
      </c>
      <c r="T33">
        <v>110.3</v>
      </c>
      <c r="U33">
        <v>113</v>
      </c>
      <c r="V33" s="3">
        <f t="shared" si="1"/>
        <v>112.26666666666667</v>
      </c>
      <c r="W33">
        <v>111.1</v>
      </c>
      <c r="X33" s="3">
        <f t="shared" si="2"/>
        <v>111.1</v>
      </c>
      <c r="Y33" s="3">
        <v>108.6</v>
      </c>
      <c r="Z33">
        <v>110</v>
      </c>
      <c r="AA33">
        <v>110.9</v>
      </c>
      <c r="AB33">
        <v>109.5</v>
      </c>
      <c r="AC33">
        <v>108.5</v>
      </c>
      <c r="AD33">
        <v>107.9</v>
      </c>
      <c r="AE33" s="3">
        <f t="shared" si="3"/>
        <v>109.35999999999999</v>
      </c>
      <c r="AF33" s="3">
        <v>111.3</v>
      </c>
      <c r="AG33" s="3">
        <v>109.6</v>
      </c>
      <c r="AH33">
        <v>115</v>
      </c>
    </row>
    <row r="34" spans="1:34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 s="3">
        <f t="shared" si="0"/>
        <v>118.36923076923077</v>
      </c>
      <c r="R34" s="3">
        <v>113.1</v>
      </c>
      <c r="S34">
        <v>114.2</v>
      </c>
      <c r="T34">
        <v>111.9</v>
      </c>
      <c r="U34">
        <v>113.8</v>
      </c>
      <c r="V34" s="3">
        <f t="shared" si="1"/>
        <v>113.30000000000001</v>
      </c>
      <c r="W34">
        <v>111.1</v>
      </c>
      <c r="X34" s="3">
        <f t="shared" si="2"/>
        <v>111.1</v>
      </c>
      <c r="Y34" s="3">
        <v>109.3</v>
      </c>
      <c r="Z34">
        <v>111.6</v>
      </c>
      <c r="AA34">
        <v>111.1</v>
      </c>
      <c r="AB34">
        <v>109.5</v>
      </c>
      <c r="AC34">
        <v>108.6</v>
      </c>
      <c r="AD34">
        <v>108.1</v>
      </c>
      <c r="AE34" s="3">
        <f t="shared" si="3"/>
        <v>109.78</v>
      </c>
      <c r="AF34" s="3">
        <v>111.2</v>
      </c>
      <c r="AG34" s="3">
        <v>109.7</v>
      </c>
      <c r="AH34">
        <v>116.3</v>
      </c>
    </row>
    <row r="35" spans="1:34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 s="3">
        <f t="shared" si="0"/>
        <v>116.07692307692308</v>
      </c>
      <c r="R35" s="3">
        <v>113.6</v>
      </c>
      <c r="S35">
        <v>115.8</v>
      </c>
      <c r="T35">
        <v>114</v>
      </c>
      <c r="U35">
        <v>115.5</v>
      </c>
      <c r="V35" s="3">
        <f t="shared" si="1"/>
        <v>115.10000000000001</v>
      </c>
      <c r="W35" t="s">
        <v>32</v>
      </c>
      <c r="X35" s="3">
        <f t="shared" si="2"/>
        <v>110.7</v>
      </c>
      <c r="Y35" s="3">
        <v>110.1</v>
      </c>
      <c r="Z35">
        <v>112.8</v>
      </c>
      <c r="AA35">
        <v>112.1</v>
      </c>
      <c r="AB35">
        <v>109.9</v>
      </c>
      <c r="AC35">
        <v>109.2</v>
      </c>
      <c r="AD35">
        <v>108.1</v>
      </c>
      <c r="AE35" s="3">
        <f t="shared" si="3"/>
        <v>110.41999999999999</v>
      </c>
      <c r="AF35" s="3">
        <v>111.6</v>
      </c>
      <c r="AG35" s="3">
        <v>110.1</v>
      </c>
      <c r="AH35">
        <v>115.5</v>
      </c>
    </row>
    <row r="36" spans="1:34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 s="3">
        <f t="shared" si="0"/>
        <v>115.72307692307693</v>
      </c>
      <c r="R36" s="3">
        <v>115</v>
      </c>
      <c r="S36">
        <v>114.2</v>
      </c>
      <c r="T36">
        <v>110.9</v>
      </c>
      <c r="U36">
        <v>113.7</v>
      </c>
      <c r="V36" s="3">
        <f t="shared" si="1"/>
        <v>112.93333333333334</v>
      </c>
      <c r="W36">
        <v>110.7</v>
      </c>
      <c r="X36" s="3">
        <f t="shared" si="2"/>
        <v>110.7</v>
      </c>
      <c r="Y36" s="3">
        <v>109</v>
      </c>
      <c r="Z36">
        <v>110.4</v>
      </c>
      <c r="AA36">
        <v>111.3</v>
      </c>
      <c r="AB36">
        <v>109.7</v>
      </c>
      <c r="AC36">
        <v>108.9</v>
      </c>
      <c r="AD36">
        <v>107.7</v>
      </c>
      <c r="AE36" s="3">
        <f t="shared" si="3"/>
        <v>109.6</v>
      </c>
      <c r="AF36" s="3">
        <v>111.4</v>
      </c>
      <c r="AG36" s="3">
        <v>109.8</v>
      </c>
      <c r="AH36">
        <v>113.3</v>
      </c>
    </row>
    <row r="37" spans="1:34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 s="3">
        <f t="shared" si="0"/>
        <v>115.94615384615386</v>
      </c>
      <c r="R37" s="3">
        <v>114</v>
      </c>
      <c r="S37">
        <v>115.2</v>
      </c>
      <c r="T37">
        <v>112.7</v>
      </c>
      <c r="U37">
        <v>114.8</v>
      </c>
      <c r="V37" s="3">
        <f t="shared" si="1"/>
        <v>114.23333333333333</v>
      </c>
      <c r="W37">
        <v>110.7</v>
      </c>
      <c r="X37" s="3">
        <f t="shared" si="2"/>
        <v>110.7</v>
      </c>
      <c r="Y37" s="3">
        <v>109.7</v>
      </c>
      <c r="Z37">
        <v>111.9</v>
      </c>
      <c r="AA37">
        <v>111.7</v>
      </c>
      <c r="AB37">
        <v>109.8</v>
      </c>
      <c r="AC37">
        <v>109</v>
      </c>
      <c r="AD37">
        <v>107.9</v>
      </c>
      <c r="AE37" s="3">
        <f t="shared" si="3"/>
        <v>110.06000000000002</v>
      </c>
      <c r="AF37" s="3">
        <v>111.5</v>
      </c>
      <c r="AG37" s="3">
        <v>110</v>
      </c>
      <c r="AH37">
        <v>114.5</v>
      </c>
    </row>
    <row r="38" spans="1:34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 s="3">
        <f t="shared" si="0"/>
        <v>114.35384615384616</v>
      </c>
      <c r="R38" s="3">
        <v>114</v>
      </c>
      <c r="S38">
        <v>116.5</v>
      </c>
      <c r="T38">
        <v>114.5</v>
      </c>
      <c r="U38">
        <v>116.2</v>
      </c>
      <c r="V38" s="3">
        <f t="shared" si="1"/>
        <v>115.73333333333333</v>
      </c>
      <c r="W38" t="s">
        <v>32</v>
      </c>
      <c r="X38" s="3">
        <f t="shared" si="2"/>
        <v>111.6</v>
      </c>
      <c r="Y38" s="3">
        <v>110.6</v>
      </c>
      <c r="Z38">
        <v>113</v>
      </c>
      <c r="AA38">
        <v>112.6</v>
      </c>
      <c r="AB38">
        <v>110.5</v>
      </c>
      <c r="AC38">
        <v>109.6</v>
      </c>
      <c r="AD38">
        <v>108.3</v>
      </c>
      <c r="AE38" s="3">
        <f t="shared" si="3"/>
        <v>110.8</v>
      </c>
      <c r="AF38" s="3">
        <v>111.8</v>
      </c>
      <c r="AG38" s="3">
        <v>110.6</v>
      </c>
      <c r="AH38">
        <v>114.2</v>
      </c>
    </row>
    <row r="39" spans="1:34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 s="3">
        <f t="shared" si="0"/>
        <v>114.17692307692307</v>
      </c>
      <c r="R39" s="3">
        <v>115.7</v>
      </c>
      <c r="S39">
        <v>114.8</v>
      </c>
      <c r="T39">
        <v>111.3</v>
      </c>
      <c r="U39">
        <v>114.3</v>
      </c>
      <c r="V39" s="3">
        <f t="shared" si="1"/>
        <v>113.46666666666665</v>
      </c>
      <c r="W39">
        <v>111.6</v>
      </c>
      <c r="X39" s="3">
        <f t="shared" si="2"/>
        <v>111.6</v>
      </c>
      <c r="Y39" s="3">
        <v>109.7</v>
      </c>
      <c r="Z39">
        <v>111</v>
      </c>
      <c r="AA39">
        <v>111.9</v>
      </c>
      <c r="AB39">
        <v>110.8</v>
      </c>
      <c r="AC39">
        <v>109.8</v>
      </c>
      <c r="AD39">
        <v>108</v>
      </c>
      <c r="AE39" s="3">
        <f t="shared" si="3"/>
        <v>110.3</v>
      </c>
      <c r="AF39" s="3">
        <v>111.5</v>
      </c>
      <c r="AG39" s="3">
        <v>110.5</v>
      </c>
      <c r="AH39">
        <v>112.9</v>
      </c>
    </row>
    <row r="40" spans="1:34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 s="3">
        <f t="shared" si="0"/>
        <v>114.29230769230767</v>
      </c>
      <c r="R40" s="3">
        <v>114.5</v>
      </c>
      <c r="S40">
        <v>115.8</v>
      </c>
      <c r="T40">
        <v>113.2</v>
      </c>
      <c r="U40">
        <v>115.4</v>
      </c>
      <c r="V40" s="3">
        <f t="shared" si="1"/>
        <v>114.8</v>
      </c>
      <c r="W40">
        <v>111.6</v>
      </c>
      <c r="X40" s="3">
        <f t="shared" si="2"/>
        <v>111.6</v>
      </c>
      <c r="Y40" s="3">
        <v>110.3</v>
      </c>
      <c r="Z40">
        <v>112.2</v>
      </c>
      <c r="AA40">
        <v>112.3</v>
      </c>
      <c r="AB40">
        <v>110.7</v>
      </c>
      <c r="AC40">
        <v>109.7</v>
      </c>
      <c r="AD40">
        <v>108.2</v>
      </c>
      <c r="AE40" s="3">
        <f t="shared" si="3"/>
        <v>110.62</v>
      </c>
      <c r="AF40" s="3">
        <v>111.6</v>
      </c>
      <c r="AG40" s="3">
        <v>110.6</v>
      </c>
      <c r="AH40">
        <v>113.6</v>
      </c>
    </row>
    <row r="41" spans="1:34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 s="3">
        <f t="shared" si="0"/>
        <v>114.01538461538462</v>
      </c>
      <c r="R41" s="3">
        <v>114.2</v>
      </c>
      <c r="S41">
        <v>117.1</v>
      </c>
      <c r="T41">
        <v>114.5</v>
      </c>
      <c r="U41">
        <v>116.7</v>
      </c>
      <c r="V41" s="3">
        <f t="shared" si="1"/>
        <v>116.10000000000001</v>
      </c>
      <c r="W41" t="s">
        <v>32</v>
      </c>
      <c r="X41" s="3">
        <f t="shared" si="2"/>
        <v>112.5</v>
      </c>
      <c r="Y41" s="3">
        <v>110.9</v>
      </c>
      <c r="Z41">
        <v>113.2</v>
      </c>
      <c r="AA41">
        <v>112.9</v>
      </c>
      <c r="AB41">
        <v>110.8</v>
      </c>
      <c r="AC41">
        <v>109.9</v>
      </c>
      <c r="AD41">
        <v>108.7</v>
      </c>
      <c r="AE41" s="3">
        <f t="shared" si="3"/>
        <v>111.10000000000002</v>
      </c>
      <c r="AF41" s="3">
        <v>112</v>
      </c>
      <c r="AG41" s="3">
        <v>110.9</v>
      </c>
      <c r="AH41">
        <v>114</v>
      </c>
    </row>
    <row r="42" spans="1:34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 s="3">
        <f t="shared" si="0"/>
        <v>113.53846153846153</v>
      </c>
      <c r="R42" s="3">
        <v>116.2</v>
      </c>
      <c r="S42">
        <v>115.3</v>
      </c>
      <c r="T42">
        <v>111.7</v>
      </c>
      <c r="U42">
        <v>114.7</v>
      </c>
      <c r="V42" s="3">
        <f t="shared" si="1"/>
        <v>113.89999999999999</v>
      </c>
      <c r="W42">
        <v>112.5</v>
      </c>
      <c r="X42" s="3">
        <f t="shared" si="2"/>
        <v>112.5</v>
      </c>
      <c r="Y42" s="3">
        <v>110.4</v>
      </c>
      <c r="Z42">
        <v>111.1</v>
      </c>
      <c r="AA42">
        <v>112.6</v>
      </c>
      <c r="AB42">
        <v>111.3</v>
      </c>
      <c r="AC42">
        <v>110.3</v>
      </c>
      <c r="AD42">
        <v>108.7</v>
      </c>
      <c r="AE42" s="3">
        <f t="shared" si="3"/>
        <v>110.8</v>
      </c>
      <c r="AF42" s="3">
        <v>111.6</v>
      </c>
      <c r="AG42" s="3">
        <v>111</v>
      </c>
      <c r="AH42">
        <v>113.1</v>
      </c>
    </row>
    <row r="43" spans="1:34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 s="3">
        <f t="shared" si="0"/>
        <v>113.85384615384615</v>
      </c>
      <c r="R43" s="3">
        <v>114.7</v>
      </c>
      <c r="S43">
        <v>116.4</v>
      </c>
      <c r="T43">
        <v>113.3</v>
      </c>
      <c r="U43">
        <v>115.9</v>
      </c>
      <c r="V43" s="3">
        <f t="shared" si="1"/>
        <v>115.2</v>
      </c>
      <c r="W43">
        <v>112.5</v>
      </c>
      <c r="X43" s="3">
        <f t="shared" si="2"/>
        <v>112.5</v>
      </c>
      <c r="Y43" s="3">
        <v>110.7</v>
      </c>
      <c r="Z43">
        <v>112.4</v>
      </c>
      <c r="AA43">
        <v>112.8</v>
      </c>
      <c r="AB43">
        <v>111.1</v>
      </c>
      <c r="AC43">
        <v>110.1</v>
      </c>
      <c r="AD43">
        <v>108.7</v>
      </c>
      <c r="AE43" s="3">
        <f t="shared" si="3"/>
        <v>111.02000000000001</v>
      </c>
      <c r="AF43" s="3">
        <v>111.8</v>
      </c>
      <c r="AG43" s="3">
        <v>110.9</v>
      </c>
      <c r="AH43">
        <v>113.6</v>
      </c>
    </row>
    <row r="44" spans="1:34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 s="3">
        <f t="shared" si="0"/>
        <v>114.72307692307693</v>
      </c>
      <c r="R44" s="3">
        <v>114.6</v>
      </c>
      <c r="S44">
        <v>117.5</v>
      </c>
      <c r="T44">
        <v>114.9</v>
      </c>
      <c r="U44">
        <v>117.2</v>
      </c>
      <c r="V44" s="3">
        <f t="shared" si="1"/>
        <v>116.53333333333335</v>
      </c>
      <c r="W44" t="s">
        <v>32</v>
      </c>
      <c r="X44" s="3">
        <f t="shared" si="2"/>
        <v>113.2</v>
      </c>
      <c r="Y44" s="3">
        <v>111.4</v>
      </c>
      <c r="Z44">
        <v>113.4</v>
      </c>
      <c r="AA44">
        <v>113.4</v>
      </c>
      <c r="AB44">
        <v>111.2</v>
      </c>
      <c r="AC44">
        <v>110.2</v>
      </c>
      <c r="AD44">
        <v>108.9</v>
      </c>
      <c r="AE44" s="3">
        <f t="shared" si="3"/>
        <v>111.42</v>
      </c>
      <c r="AF44" s="3">
        <v>112.4</v>
      </c>
      <c r="AG44" s="3">
        <v>111.3</v>
      </c>
      <c r="AH44">
        <v>114.6</v>
      </c>
    </row>
    <row r="45" spans="1:34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 s="3">
        <f t="shared" si="0"/>
        <v>114.07692307692308</v>
      </c>
      <c r="R45" s="3">
        <v>116.7</v>
      </c>
      <c r="S45">
        <v>115.8</v>
      </c>
      <c r="T45">
        <v>112.1</v>
      </c>
      <c r="U45">
        <v>115.2</v>
      </c>
      <c r="V45" s="3">
        <f t="shared" si="1"/>
        <v>114.36666666666666</v>
      </c>
      <c r="W45">
        <v>113.2</v>
      </c>
      <c r="X45" s="3">
        <f t="shared" si="2"/>
        <v>113.2</v>
      </c>
      <c r="Y45" s="3">
        <v>110.8</v>
      </c>
      <c r="Z45">
        <v>110.9</v>
      </c>
      <c r="AA45">
        <v>113</v>
      </c>
      <c r="AB45">
        <v>111.6</v>
      </c>
      <c r="AC45">
        <v>110.9</v>
      </c>
      <c r="AD45">
        <v>109.2</v>
      </c>
      <c r="AE45" s="3">
        <f t="shared" si="3"/>
        <v>111.12</v>
      </c>
      <c r="AF45" s="3">
        <v>111.8</v>
      </c>
      <c r="AG45" s="3">
        <v>111.4</v>
      </c>
      <c r="AH45">
        <v>113.7</v>
      </c>
    </row>
    <row r="46" spans="1:34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 s="3">
        <f t="shared" si="0"/>
        <v>114.48461538461537</v>
      </c>
      <c r="R46" s="3">
        <v>115.2</v>
      </c>
      <c r="S46">
        <v>116.8</v>
      </c>
      <c r="T46">
        <v>113.7</v>
      </c>
      <c r="U46">
        <v>116.4</v>
      </c>
      <c r="V46" s="3">
        <f t="shared" si="1"/>
        <v>115.63333333333333</v>
      </c>
      <c r="W46">
        <v>113.2</v>
      </c>
      <c r="X46" s="3">
        <f t="shared" si="2"/>
        <v>113.2</v>
      </c>
      <c r="Y46" s="3">
        <v>111.2</v>
      </c>
      <c r="Z46">
        <v>112.5</v>
      </c>
      <c r="AA46">
        <v>113.2</v>
      </c>
      <c r="AB46">
        <v>111.4</v>
      </c>
      <c r="AC46">
        <v>110.6</v>
      </c>
      <c r="AD46">
        <v>109</v>
      </c>
      <c r="AE46" s="3">
        <f t="shared" si="3"/>
        <v>111.34</v>
      </c>
      <c r="AF46" s="3">
        <v>112</v>
      </c>
      <c r="AG46" s="3">
        <v>111.3</v>
      </c>
      <c r="AH46">
        <v>114.2</v>
      </c>
    </row>
    <row r="47" spans="1:34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 s="3">
        <f t="shared" si="0"/>
        <v>115.70000000000002</v>
      </c>
      <c r="R47" s="3">
        <v>115.4</v>
      </c>
      <c r="S47">
        <v>118.1</v>
      </c>
      <c r="T47">
        <v>116.1</v>
      </c>
      <c r="U47">
        <v>117.8</v>
      </c>
      <c r="V47" s="3">
        <f t="shared" si="1"/>
        <v>117.33333333333333</v>
      </c>
      <c r="W47" t="s">
        <v>32</v>
      </c>
      <c r="X47" s="3">
        <f t="shared" si="2"/>
        <v>113.9</v>
      </c>
      <c r="Y47" s="3">
        <v>111.8</v>
      </c>
      <c r="Z47">
        <v>113.4</v>
      </c>
      <c r="AA47">
        <v>113.7</v>
      </c>
      <c r="AB47">
        <v>111.2</v>
      </c>
      <c r="AC47">
        <v>110.5</v>
      </c>
      <c r="AD47">
        <v>108.9</v>
      </c>
      <c r="AE47" s="3">
        <f t="shared" si="3"/>
        <v>111.54</v>
      </c>
      <c r="AF47" s="3">
        <v>113</v>
      </c>
      <c r="AG47" s="3">
        <v>111.5</v>
      </c>
      <c r="AH47">
        <v>115.4</v>
      </c>
    </row>
    <row r="48" spans="1:34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 s="3">
        <f t="shared" si="0"/>
        <v>115.69230769230771</v>
      </c>
      <c r="R48" s="3">
        <v>117.6</v>
      </c>
      <c r="S48">
        <v>116.3</v>
      </c>
      <c r="T48">
        <v>112.5</v>
      </c>
      <c r="U48">
        <v>115.7</v>
      </c>
      <c r="V48" s="3">
        <f t="shared" si="1"/>
        <v>114.83333333333333</v>
      </c>
      <c r="W48">
        <v>113.9</v>
      </c>
      <c r="X48" s="3">
        <f t="shared" si="2"/>
        <v>113.9</v>
      </c>
      <c r="Y48" s="3">
        <v>111</v>
      </c>
      <c r="Z48">
        <v>110.9</v>
      </c>
      <c r="AA48">
        <v>113.4</v>
      </c>
      <c r="AB48">
        <v>111.2</v>
      </c>
      <c r="AC48">
        <v>111.2</v>
      </c>
      <c r="AD48">
        <v>109.1</v>
      </c>
      <c r="AE48" s="3">
        <f t="shared" si="3"/>
        <v>111.16</v>
      </c>
      <c r="AF48" s="3">
        <v>112.5</v>
      </c>
      <c r="AG48" s="3">
        <v>111.4</v>
      </c>
      <c r="AH48">
        <v>114.7</v>
      </c>
    </row>
    <row r="49" spans="1:34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 s="3">
        <f t="shared" si="0"/>
        <v>115.69999999999999</v>
      </c>
      <c r="R49" s="3">
        <v>116</v>
      </c>
      <c r="S49">
        <v>117.4</v>
      </c>
      <c r="T49">
        <v>114.6</v>
      </c>
      <c r="U49">
        <v>117</v>
      </c>
      <c r="V49" s="3">
        <f t="shared" si="1"/>
        <v>116.33333333333333</v>
      </c>
      <c r="W49">
        <v>113.9</v>
      </c>
      <c r="X49" s="3">
        <f t="shared" si="2"/>
        <v>113.9</v>
      </c>
      <c r="Y49" s="3">
        <v>111.5</v>
      </c>
      <c r="Z49">
        <v>112.5</v>
      </c>
      <c r="AA49">
        <v>113.6</v>
      </c>
      <c r="AB49">
        <v>111.2</v>
      </c>
      <c r="AC49">
        <v>110.9</v>
      </c>
      <c r="AD49">
        <v>109</v>
      </c>
      <c r="AE49" s="3">
        <f t="shared" si="3"/>
        <v>111.44000000000001</v>
      </c>
      <c r="AF49" s="3">
        <v>112.7</v>
      </c>
      <c r="AG49" s="3">
        <v>111.5</v>
      </c>
      <c r="AH49">
        <v>115.1</v>
      </c>
    </row>
    <row r="50" spans="1:34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 s="3">
        <f t="shared" si="0"/>
        <v>116.45384615384614</v>
      </c>
      <c r="R50" s="3">
        <v>116.3</v>
      </c>
      <c r="S50">
        <v>118.7</v>
      </c>
      <c r="T50">
        <v>116.8</v>
      </c>
      <c r="U50">
        <v>118.5</v>
      </c>
      <c r="V50" s="3">
        <f t="shared" si="1"/>
        <v>118</v>
      </c>
      <c r="W50" t="s">
        <v>32</v>
      </c>
      <c r="X50" s="3">
        <f t="shared" si="2"/>
        <v>114.3</v>
      </c>
      <c r="Y50" s="3">
        <v>112.1</v>
      </c>
      <c r="Z50">
        <v>113.4</v>
      </c>
      <c r="AA50">
        <v>114.1</v>
      </c>
      <c r="AB50">
        <v>111.4</v>
      </c>
      <c r="AC50">
        <v>110.9</v>
      </c>
      <c r="AD50">
        <v>108.9</v>
      </c>
      <c r="AE50" s="3">
        <f t="shared" si="3"/>
        <v>111.73999999999998</v>
      </c>
      <c r="AF50" s="3">
        <v>113.1</v>
      </c>
      <c r="AG50" s="3">
        <v>111.8</v>
      </c>
      <c r="AH50">
        <v>116</v>
      </c>
    </row>
    <row r="51" spans="1:34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 s="3">
        <f t="shared" si="0"/>
        <v>117.33076923076925</v>
      </c>
      <c r="R51" s="3">
        <v>118.3</v>
      </c>
      <c r="S51">
        <v>116.8</v>
      </c>
      <c r="T51">
        <v>112.9</v>
      </c>
      <c r="U51">
        <v>116.2</v>
      </c>
      <c r="V51" s="3">
        <f t="shared" si="1"/>
        <v>115.3</v>
      </c>
      <c r="W51">
        <v>114.3</v>
      </c>
      <c r="X51" s="3">
        <f t="shared" si="2"/>
        <v>114.3</v>
      </c>
      <c r="Y51" s="3">
        <v>111.2</v>
      </c>
      <c r="Z51">
        <v>111.1</v>
      </c>
      <c r="AA51">
        <v>114.1</v>
      </c>
      <c r="AB51">
        <v>111.3</v>
      </c>
      <c r="AC51">
        <v>111.5</v>
      </c>
      <c r="AD51">
        <v>109.3</v>
      </c>
      <c r="AE51" s="3">
        <f t="shared" si="3"/>
        <v>111.46</v>
      </c>
      <c r="AF51" s="3">
        <v>112.9</v>
      </c>
      <c r="AG51" s="3">
        <v>111.7</v>
      </c>
      <c r="AH51">
        <v>115.6</v>
      </c>
    </row>
    <row r="52" spans="1:34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 s="3">
        <f t="shared" si="0"/>
        <v>116.80769230769235</v>
      </c>
      <c r="R52" s="3">
        <v>116.8</v>
      </c>
      <c r="S52">
        <v>118</v>
      </c>
      <c r="T52">
        <v>115.2</v>
      </c>
      <c r="U52">
        <v>117.6</v>
      </c>
      <c r="V52" s="3">
        <f t="shared" si="1"/>
        <v>116.93333333333332</v>
      </c>
      <c r="W52">
        <v>114.3</v>
      </c>
      <c r="X52" s="3">
        <f t="shared" si="2"/>
        <v>114.3</v>
      </c>
      <c r="Y52" s="3">
        <v>111.8</v>
      </c>
      <c r="Z52">
        <v>112.5</v>
      </c>
      <c r="AA52">
        <v>114.1</v>
      </c>
      <c r="AB52">
        <v>111.3</v>
      </c>
      <c r="AC52">
        <v>111.2</v>
      </c>
      <c r="AD52">
        <v>109.1</v>
      </c>
      <c r="AE52" s="3">
        <f t="shared" si="3"/>
        <v>111.63999999999999</v>
      </c>
      <c r="AF52" s="3">
        <v>113</v>
      </c>
      <c r="AG52" s="3">
        <v>111.8</v>
      </c>
      <c r="AH52">
        <v>115.8</v>
      </c>
    </row>
    <row r="53" spans="1:34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 s="3">
        <f t="shared" si="0"/>
        <v>117.36153846153844</v>
      </c>
      <c r="R53" s="3">
        <v>117.3</v>
      </c>
      <c r="S53">
        <v>119.7</v>
      </c>
      <c r="T53">
        <v>117.3</v>
      </c>
      <c r="U53">
        <v>119.3</v>
      </c>
      <c r="V53" s="3">
        <f t="shared" si="1"/>
        <v>118.76666666666667</v>
      </c>
      <c r="W53" t="s">
        <v>32</v>
      </c>
      <c r="X53" s="3">
        <f t="shared" si="2"/>
        <v>113.9</v>
      </c>
      <c r="Y53" s="3">
        <v>112.8</v>
      </c>
      <c r="Z53">
        <v>114.4</v>
      </c>
      <c r="AA53">
        <v>114.9</v>
      </c>
      <c r="AB53">
        <v>112.2</v>
      </c>
      <c r="AC53">
        <v>111.4</v>
      </c>
      <c r="AD53">
        <v>108</v>
      </c>
      <c r="AE53" s="3">
        <f t="shared" si="3"/>
        <v>112.17999999999999</v>
      </c>
      <c r="AF53" s="3">
        <v>114.3</v>
      </c>
      <c r="AG53" s="3">
        <v>112.3</v>
      </c>
      <c r="AH53">
        <v>117</v>
      </c>
    </row>
    <row r="54" spans="1:34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 s="3">
        <f t="shared" si="0"/>
        <v>119</v>
      </c>
      <c r="R54" s="3">
        <v>119</v>
      </c>
      <c r="S54">
        <v>117.4</v>
      </c>
      <c r="T54">
        <v>113.2</v>
      </c>
      <c r="U54">
        <v>116.7</v>
      </c>
      <c r="V54" s="3">
        <f t="shared" si="1"/>
        <v>115.76666666666667</v>
      </c>
      <c r="W54">
        <v>113.9</v>
      </c>
      <c r="X54" s="3">
        <f t="shared" si="2"/>
        <v>113.9</v>
      </c>
      <c r="Y54" s="3">
        <v>111.4</v>
      </c>
      <c r="Z54">
        <v>111.2</v>
      </c>
      <c r="AA54">
        <v>114.3</v>
      </c>
      <c r="AB54">
        <v>111.5</v>
      </c>
      <c r="AC54">
        <v>111.8</v>
      </c>
      <c r="AD54">
        <v>108.7</v>
      </c>
      <c r="AE54" s="3">
        <f t="shared" si="3"/>
        <v>111.5</v>
      </c>
      <c r="AF54" s="3">
        <v>115.1</v>
      </c>
      <c r="AG54" s="3">
        <v>112.2</v>
      </c>
      <c r="AH54">
        <v>116.4</v>
      </c>
    </row>
    <row r="55" spans="1:34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 s="3">
        <f t="shared" si="0"/>
        <v>117.9769230769231</v>
      </c>
      <c r="R55" s="3">
        <v>117.8</v>
      </c>
      <c r="S55">
        <v>118.8</v>
      </c>
      <c r="T55">
        <v>115.6</v>
      </c>
      <c r="U55">
        <v>118.3</v>
      </c>
      <c r="V55" s="3">
        <f t="shared" si="1"/>
        <v>117.56666666666666</v>
      </c>
      <c r="W55">
        <v>113.9</v>
      </c>
      <c r="X55" s="3">
        <f t="shared" si="2"/>
        <v>113.9</v>
      </c>
      <c r="Y55" s="3">
        <v>112.3</v>
      </c>
      <c r="Z55">
        <v>113.2</v>
      </c>
      <c r="AA55">
        <v>114.6</v>
      </c>
      <c r="AB55">
        <v>111.8</v>
      </c>
      <c r="AC55">
        <v>111.6</v>
      </c>
      <c r="AD55">
        <v>108.3</v>
      </c>
      <c r="AE55" s="3">
        <f t="shared" si="3"/>
        <v>111.9</v>
      </c>
      <c r="AF55" s="3">
        <v>114.8</v>
      </c>
      <c r="AG55" s="3">
        <v>112.3</v>
      </c>
      <c r="AH55">
        <v>116.7</v>
      </c>
    </row>
    <row r="56" spans="1:34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 s="3">
        <f t="shared" si="0"/>
        <v>120.24615384615385</v>
      </c>
      <c r="R56" s="3">
        <v>118</v>
      </c>
      <c r="S56">
        <v>120.7</v>
      </c>
      <c r="T56">
        <v>118.3</v>
      </c>
      <c r="U56">
        <v>120.3</v>
      </c>
      <c r="V56" s="3">
        <f t="shared" si="1"/>
        <v>119.76666666666667</v>
      </c>
      <c r="W56" t="s">
        <v>32</v>
      </c>
      <c r="X56" s="3">
        <f t="shared" si="2"/>
        <v>114.8</v>
      </c>
      <c r="Y56" s="3">
        <v>113.4</v>
      </c>
      <c r="Z56">
        <v>115.3</v>
      </c>
      <c r="AA56">
        <v>115.4</v>
      </c>
      <c r="AB56">
        <v>113.2</v>
      </c>
      <c r="AC56">
        <v>111.8</v>
      </c>
      <c r="AD56">
        <v>108.8</v>
      </c>
      <c r="AE56" s="3">
        <f t="shared" si="3"/>
        <v>112.9</v>
      </c>
      <c r="AF56" s="3">
        <v>115.5</v>
      </c>
      <c r="AG56" s="3">
        <v>113.1</v>
      </c>
      <c r="AH56">
        <v>119.5</v>
      </c>
    </row>
    <row r="57" spans="1:34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 s="3">
        <f t="shared" si="0"/>
        <v>123.03846153846153</v>
      </c>
      <c r="R57" s="3">
        <v>121</v>
      </c>
      <c r="S57">
        <v>118</v>
      </c>
      <c r="T57">
        <v>113.6</v>
      </c>
      <c r="U57">
        <v>117.4</v>
      </c>
      <c r="V57" s="3">
        <f t="shared" si="1"/>
        <v>116.33333333333333</v>
      </c>
      <c r="W57">
        <v>114.8</v>
      </c>
      <c r="X57" s="3">
        <f t="shared" si="2"/>
        <v>114.8</v>
      </c>
      <c r="Y57" s="3">
        <v>111.5</v>
      </c>
      <c r="Z57">
        <v>111.6</v>
      </c>
      <c r="AA57">
        <v>114.9</v>
      </c>
      <c r="AB57">
        <v>113</v>
      </c>
      <c r="AC57">
        <v>112.4</v>
      </c>
      <c r="AD57">
        <v>109.7</v>
      </c>
      <c r="AE57" s="3">
        <f t="shared" si="3"/>
        <v>112.32000000000001</v>
      </c>
      <c r="AF57" s="3">
        <v>117.8</v>
      </c>
      <c r="AG57" s="3">
        <v>113.5</v>
      </c>
      <c r="AH57">
        <v>118.9</v>
      </c>
    </row>
    <row r="58" spans="1:34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 s="3">
        <f t="shared" si="0"/>
        <v>121.25384615384615</v>
      </c>
      <c r="R58" s="3">
        <v>118.8</v>
      </c>
      <c r="S58">
        <v>119.6</v>
      </c>
      <c r="T58">
        <v>116.3</v>
      </c>
      <c r="U58">
        <v>119.1</v>
      </c>
      <c r="V58" s="3">
        <f t="shared" si="1"/>
        <v>118.33333333333333</v>
      </c>
      <c r="W58">
        <v>114.8</v>
      </c>
      <c r="X58" s="3">
        <f t="shared" si="2"/>
        <v>114.8</v>
      </c>
      <c r="Y58" s="3">
        <v>112.7</v>
      </c>
      <c r="Z58">
        <v>113.9</v>
      </c>
      <c r="AA58">
        <v>115.2</v>
      </c>
      <c r="AB58">
        <v>113.1</v>
      </c>
      <c r="AC58">
        <v>112.1</v>
      </c>
      <c r="AD58">
        <v>109.2</v>
      </c>
      <c r="AE58" s="3">
        <f t="shared" si="3"/>
        <v>112.70000000000002</v>
      </c>
      <c r="AF58" s="3">
        <v>116.8</v>
      </c>
      <c r="AG58" s="3">
        <v>113.3</v>
      </c>
      <c r="AH58">
        <v>119.2</v>
      </c>
    </row>
    <row r="59" spans="1:34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 s="3">
        <f t="shared" si="0"/>
        <v>121.71538461538459</v>
      </c>
      <c r="R59" s="3">
        <v>118.8</v>
      </c>
      <c r="S59">
        <v>120.9</v>
      </c>
      <c r="T59">
        <v>118.8</v>
      </c>
      <c r="U59">
        <v>120.7</v>
      </c>
      <c r="V59" s="3">
        <f t="shared" si="1"/>
        <v>120.13333333333333</v>
      </c>
      <c r="W59" t="s">
        <v>32</v>
      </c>
      <c r="X59" s="3">
        <f t="shared" si="2"/>
        <v>115.5</v>
      </c>
      <c r="Y59" s="3">
        <v>114</v>
      </c>
      <c r="Z59">
        <v>115.4</v>
      </c>
      <c r="AA59">
        <v>115.9</v>
      </c>
      <c r="AB59">
        <v>113.2</v>
      </c>
      <c r="AC59">
        <v>112.2</v>
      </c>
      <c r="AD59">
        <v>109.4</v>
      </c>
      <c r="AE59" s="3">
        <f t="shared" si="3"/>
        <v>113.22</v>
      </c>
      <c r="AF59" s="3">
        <v>116.2</v>
      </c>
      <c r="AG59" s="3">
        <v>113.5</v>
      </c>
      <c r="AH59">
        <v>120.7</v>
      </c>
    </row>
    <row r="60" spans="1:34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 s="3">
        <f t="shared" si="0"/>
        <v>124.38461538461539</v>
      </c>
      <c r="R60" s="3">
        <v>123</v>
      </c>
      <c r="S60">
        <v>118.6</v>
      </c>
      <c r="T60">
        <v>114.1</v>
      </c>
      <c r="U60">
        <v>117.9</v>
      </c>
      <c r="V60" s="3">
        <f t="shared" si="1"/>
        <v>116.86666666666667</v>
      </c>
      <c r="W60">
        <v>115.5</v>
      </c>
      <c r="X60" s="3">
        <f t="shared" si="2"/>
        <v>115.5</v>
      </c>
      <c r="Y60" s="3">
        <v>112.2</v>
      </c>
      <c r="Z60">
        <v>111.8</v>
      </c>
      <c r="AA60">
        <v>115.3</v>
      </c>
      <c r="AB60">
        <v>112.5</v>
      </c>
      <c r="AC60">
        <v>112.9</v>
      </c>
      <c r="AD60">
        <v>110.5</v>
      </c>
      <c r="AE60" s="3">
        <f t="shared" si="3"/>
        <v>112.6</v>
      </c>
      <c r="AF60" s="3">
        <v>119.2</v>
      </c>
      <c r="AG60" s="3">
        <v>113.9</v>
      </c>
      <c r="AH60">
        <v>119.9</v>
      </c>
    </row>
    <row r="61" spans="1:34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 s="3">
        <f t="shared" si="0"/>
        <v>122.65384615384613</v>
      </c>
      <c r="R61" s="3">
        <v>119.9</v>
      </c>
      <c r="S61">
        <v>120</v>
      </c>
      <c r="T61">
        <v>116.8</v>
      </c>
      <c r="U61">
        <v>119.6</v>
      </c>
      <c r="V61" s="3">
        <f t="shared" si="1"/>
        <v>118.8</v>
      </c>
      <c r="W61">
        <v>115.5</v>
      </c>
      <c r="X61" s="3">
        <f t="shared" si="2"/>
        <v>115.5</v>
      </c>
      <c r="Y61" s="3">
        <v>113.3</v>
      </c>
      <c r="Z61">
        <v>114</v>
      </c>
      <c r="AA61">
        <v>115.6</v>
      </c>
      <c r="AB61">
        <v>112.8</v>
      </c>
      <c r="AC61">
        <v>112.6</v>
      </c>
      <c r="AD61">
        <v>109.9</v>
      </c>
      <c r="AE61" s="3">
        <f t="shared" si="3"/>
        <v>112.97999999999999</v>
      </c>
      <c r="AF61" s="3">
        <v>118</v>
      </c>
      <c r="AG61" s="3">
        <v>113.7</v>
      </c>
      <c r="AH61">
        <v>120.3</v>
      </c>
    </row>
    <row r="62" spans="1:34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 s="3">
        <f t="shared" si="0"/>
        <v>121.78461538461539</v>
      </c>
      <c r="R62" s="3">
        <v>119.5</v>
      </c>
      <c r="S62">
        <v>121.7</v>
      </c>
      <c r="T62">
        <v>119.2</v>
      </c>
      <c r="U62">
        <v>121.3</v>
      </c>
      <c r="V62" s="3">
        <f t="shared" si="1"/>
        <v>120.73333333333333</v>
      </c>
      <c r="W62" t="s">
        <v>32</v>
      </c>
      <c r="X62" s="3">
        <f t="shared" si="2"/>
        <v>116.1</v>
      </c>
      <c r="Y62" s="3">
        <v>114.5</v>
      </c>
      <c r="Z62">
        <v>115.8</v>
      </c>
      <c r="AA62">
        <v>116.7</v>
      </c>
      <c r="AB62">
        <v>112.8</v>
      </c>
      <c r="AC62">
        <v>112.6</v>
      </c>
      <c r="AD62">
        <v>109.1</v>
      </c>
      <c r="AE62" s="3">
        <f t="shared" si="3"/>
        <v>113.4</v>
      </c>
      <c r="AF62" s="3">
        <v>116.6</v>
      </c>
      <c r="AG62" s="3">
        <v>113.7</v>
      </c>
      <c r="AH62">
        <v>120.9</v>
      </c>
    </row>
    <row r="63" spans="1:34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 s="3">
        <f t="shared" si="0"/>
        <v>122.59230769230771</v>
      </c>
      <c r="R63" s="3">
        <v>124.3</v>
      </c>
      <c r="S63">
        <v>119.2</v>
      </c>
      <c r="T63">
        <v>114.5</v>
      </c>
      <c r="U63">
        <v>118.4</v>
      </c>
      <c r="V63" s="3">
        <f t="shared" si="1"/>
        <v>117.36666666666667</v>
      </c>
      <c r="W63">
        <v>116.1</v>
      </c>
      <c r="X63" s="3">
        <f t="shared" si="2"/>
        <v>116.1</v>
      </c>
      <c r="Y63" s="3">
        <v>112.3</v>
      </c>
      <c r="Z63">
        <v>111.8</v>
      </c>
      <c r="AA63">
        <v>115.5</v>
      </c>
      <c r="AB63">
        <v>111.2</v>
      </c>
      <c r="AC63">
        <v>113.4</v>
      </c>
      <c r="AD63">
        <v>110</v>
      </c>
      <c r="AE63" s="3">
        <f t="shared" si="3"/>
        <v>112.38</v>
      </c>
      <c r="AF63" s="3">
        <v>120</v>
      </c>
      <c r="AG63" s="3">
        <v>113.6</v>
      </c>
      <c r="AH63">
        <v>119.2</v>
      </c>
    </row>
    <row r="64" spans="1:34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 s="3">
        <f t="shared" si="0"/>
        <v>122.00769230769228</v>
      </c>
      <c r="R64" s="3">
        <v>120.8</v>
      </c>
      <c r="S64">
        <v>120.7</v>
      </c>
      <c r="T64">
        <v>117.2</v>
      </c>
      <c r="U64">
        <v>120.1</v>
      </c>
      <c r="V64" s="3">
        <f t="shared" si="1"/>
        <v>119.33333333333333</v>
      </c>
      <c r="W64">
        <v>116.1</v>
      </c>
      <c r="X64" s="3">
        <f t="shared" si="2"/>
        <v>116.1</v>
      </c>
      <c r="Y64" s="3">
        <v>113.7</v>
      </c>
      <c r="Z64">
        <v>114.3</v>
      </c>
      <c r="AA64">
        <v>116.1</v>
      </c>
      <c r="AB64">
        <v>112</v>
      </c>
      <c r="AC64">
        <v>113.1</v>
      </c>
      <c r="AD64">
        <v>109.5</v>
      </c>
      <c r="AE64" s="3">
        <f t="shared" si="3"/>
        <v>113</v>
      </c>
      <c r="AF64" s="3">
        <v>118.6</v>
      </c>
      <c r="AG64" s="3">
        <v>113.7</v>
      </c>
      <c r="AH64">
        <v>120.1</v>
      </c>
    </row>
    <row r="65" spans="1:34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 s="3">
        <f t="shared" si="0"/>
        <v>121.63076923076922</v>
      </c>
      <c r="R65" s="3">
        <v>120</v>
      </c>
      <c r="S65">
        <v>122.7</v>
      </c>
      <c r="T65">
        <v>120.3</v>
      </c>
      <c r="U65">
        <v>122.3</v>
      </c>
      <c r="V65" s="3">
        <f t="shared" si="1"/>
        <v>121.76666666666667</v>
      </c>
      <c r="W65" t="s">
        <v>32</v>
      </c>
      <c r="X65" s="3">
        <f t="shared" si="2"/>
        <v>116.7</v>
      </c>
      <c r="Y65" s="3">
        <v>115.3</v>
      </c>
      <c r="Z65">
        <v>116.4</v>
      </c>
      <c r="AA65">
        <v>117.5</v>
      </c>
      <c r="AB65">
        <v>112.6</v>
      </c>
      <c r="AC65">
        <v>113</v>
      </c>
      <c r="AD65">
        <v>109.3</v>
      </c>
      <c r="AE65" s="3">
        <f t="shared" si="3"/>
        <v>113.75999999999999</v>
      </c>
      <c r="AF65" s="3">
        <v>116.9</v>
      </c>
      <c r="AG65" s="3">
        <v>114</v>
      </c>
      <c r="AH65">
        <v>121</v>
      </c>
    </row>
    <row r="66" spans="1:34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 s="3">
        <f t="shared" si="0"/>
        <v>122.11538461538461</v>
      </c>
      <c r="R66" s="3">
        <v>124.3</v>
      </c>
      <c r="S66">
        <v>119.6</v>
      </c>
      <c r="T66">
        <v>114.9</v>
      </c>
      <c r="U66">
        <v>118.9</v>
      </c>
      <c r="V66" s="3">
        <f t="shared" si="1"/>
        <v>117.8</v>
      </c>
      <c r="W66">
        <v>116.7</v>
      </c>
      <c r="X66" s="3">
        <f t="shared" si="2"/>
        <v>116.7</v>
      </c>
      <c r="Y66" s="3">
        <v>112.6</v>
      </c>
      <c r="Z66">
        <v>112</v>
      </c>
      <c r="AA66">
        <v>115.8</v>
      </c>
      <c r="AB66">
        <v>111</v>
      </c>
      <c r="AC66">
        <v>113.6</v>
      </c>
      <c r="AD66">
        <v>110.1</v>
      </c>
      <c r="AE66" s="3">
        <f t="shared" si="3"/>
        <v>112.5</v>
      </c>
      <c r="AF66" s="3">
        <v>120.2</v>
      </c>
      <c r="AG66" s="3">
        <v>113.7</v>
      </c>
      <c r="AH66">
        <v>119.1</v>
      </c>
    </row>
    <row r="67" spans="1:34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 s="3">
        <f t="shared" ref="Q67:Q130" si="4">AVERAGE(D67:P67)</f>
        <v>121.74615384615385</v>
      </c>
      <c r="R67" s="3">
        <v>121.1</v>
      </c>
      <c r="S67">
        <v>121.5</v>
      </c>
      <c r="T67">
        <v>118.1</v>
      </c>
      <c r="U67">
        <v>121</v>
      </c>
      <c r="V67" s="3">
        <f t="shared" ref="V67:V130" si="5">AVERAGE(S67:U67)</f>
        <v>120.2</v>
      </c>
      <c r="W67">
        <v>116.7</v>
      </c>
      <c r="X67" s="3">
        <f t="shared" ref="X67:X130" si="6">IF(W67="NA",W68,W67)</f>
        <v>116.7</v>
      </c>
      <c r="Y67" s="3">
        <v>114.3</v>
      </c>
      <c r="Z67">
        <v>114.7</v>
      </c>
      <c r="AA67">
        <v>116.7</v>
      </c>
      <c r="AB67">
        <v>111.8</v>
      </c>
      <c r="AC67">
        <v>113.3</v>
      </c>
      <c r="AD67">
        <v>109.6</v>
      </c>
      <c r="AE67" s="3">
        <f t="shared" ref="AE67:AE130" si="7">AVERAGE(Z67:AD67)</f>
        <v>113.22</v>
      </c>
      <c r="AF67" s="3">
        <v>118.8</v>
      </c>
      <c r="AG67" s="3">
        <v>113.9</v>
      </c>
      <c r="AH67">
        <v>120.1</v>
      </c>
    </row>
    <row r="68" spans="1:34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 s="3">
        <f t="shared" si="4"/>
        <v>121.69230769230769</v>
      </c>
      <c r="R68" s="3">
        <v>120.8</v>
      </c>
      <c r="S68">
        <v>123.3</v>
      </c>
      <c r="T68">
        <v>120.5</v>
      </c>
      <c r="U68">
        <v>122.9</v>
      </c>
      <c r="V68" s="3">
        <f t="shared" si="5"/>
        <v>122.23333333333335</v>
      </c>
      <c r="W68" t="s">
        <v>32</v>
      </c>
      <c r="X68" s="3">
        <f t="shared" si="6"/>
        <v>117.1</v>
      </c>
      <c r="Y68" s="3">
        <v>115.9</v>
      </c>
      <c r="Z68">
        <v>117.3</v>
      </c>
      <c r="AA68">
        <v>118.1</v>
      </c>
      <c r="AB68">
        <v>112</v>
      </c>
      <c r="AC68">
        <v>113.3</v>
      </c>
      <c r="AD68">
        <v>108.8</v>
      </c>
      <c r="AE68" s="3">
        <f t="shared" si="7"/>
        <v>113.9</v>
      </c>
      <c r="AF68" s="3">
        <v>117.2</v>
      </c>
      <c r="AG68" s="3">
        <v>114.1</v>
      </c>
      <c r="AH68">
        <v>121.1</v>
      </c>
    </row>
    <row r="69" spans="1:34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 s="3">
        <f t="shared" si="4"/>
        <v>122.13846153846154</v>
      </c>
      <c r="R69" s="3">
        <v>125.8</v>
      </c>
      <c r="S69">
        <v>120.3</v>
      </c>
      <c r="T69">
        <v>115.4</v>
      </c>
      <c r="U69">
        <v>119.5</v>
      </c>
      <c r="V69" s="3">
        <f t="shared" si="5"/>
        <v>118.39999999999999</v>
      </c>
      <c r="W69">
        <v>117.1</v>
      </c>
      <c r="X69" s="3">
        <f t="shared" si="6"/>
        <v>117.1</v>
      </c>
      <c r="Y69" s="3">
        <v>113</v>
      </c>
      <c r="Z69">
        <v>112.6</v>
      </c>
      <c r="AA69">
        <v>116.4</v>
      </c>
      <c r="AB69">
        <v>109.7</v>
      </c>
      <c r="AC69">
        <v>114</v>
      </c>
      <c r="AD69">
        <v>109.6</v>
      </c>
      <c r="AE69" s="3">
        <f t="shared" si="7"/>
        <v>112.46</v>
      </c>
      <c r="AF69" s="3">
        <v>120.3</v>
      </c>
      <c r="AG69" s="3">
        <v>113.4</v>
      </c>
      <c r="AH69">
        <v>119</v>
      </c>
    </row>
    <row r="70" spans="1:34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 s="3">
        <f t="shared" si="4"/>
        <v>121.78461538461539</v>
      </c>
      <c r="R70" s="3">
        <v>122.1</v>
      </c>
      <c r="S70">
        <v>122.1</v>
      </c>
      <c r="T70">
        <v>118.4</v>
      </c>
      <c r="U70">
        <v>121.6</v>
      </c>
      <c r="V70" s="3">
        <f t="shared" si="5"/>
        <v>120.7</v>
      </c>
      <c r="W70">
        <v>117.1</v>
      </c>
      <c r="X70" s="3">
        <f t="shared" si="6"/>
        <v>117.1</v>
      </c>
      <c r="Y70" s="3">
        <v>114.8</v>
      </c>
      <c r="Z70">
        <v>115.5</v>
      </c>
      <c r="AA70">
        <v>117.3</v>
      </c>
      <c r="AB70">
        <v>110.8</v>
      </c>
      <c r="AC70">
        <v>113.7</v>
      </c>
      <c r="AD70">
        <v>109.1</v>
      </c>
      <c r="AE70" s="3">
        <f t="shared" si="7"/>
        <v>113.28</v>
      </c>
      <c r="AF70" s="3">
        <v>119</v>
      </c>
      <c r="AG70" s="3">
        <v>113.8</v>
      </c>
      <c r="AH70">
        <v>120.1</v>
      </c>
    </row>
    <row r="71" spans="1:34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 s="3">
        <f t="shared" si="4"/>
        <v>120.73846153846154</v>
      </c>
      <c r="R71" s="3">
        <v>121.7</v>
      </c>
      <c r="S71">
        <v>123.8</v>
      </c>
      <c r="T71">
        <v>120.6</v>
      </c>
      <c r="U71">
        <v>123.3</v>
      </c>
      <c r="V71" s="3">
        <f t="shared" si="5"/>
        <v>122.56666666666666</v>
      </c>
      <c r="W71" t="s">
        <v>32</v>
      </c>
      <c r="X71" s="3">
        <f t="shared" si="6"/>
        <v>116.5</v>
      </c>
      <c r="Y71" s="3">
        <v>116.2</v>
      </c>
      <c r="Z71">
        <v>117.4</v>
      </c>
      <c r="AA71">
        <v>118.2</v>
      </c>
      <c r="AB71">
        <v>111.5</v>
      </c>
      <c r="AC71">
        <v>113.3</v>
      </c>
      <c r="AD71">
        <v>109.4</v>
      </c>
      <c r="AE71" s="3">
        <f t="shared" si="7"/>
        <v>113.96000000000001</v>
      </c>
      <c r="AF71" s="3">
        <v>117.7</v>
      </c>
      <c r="AG71" s="3">
        <v>114.2</v>
      </c>
      <c r="AH71">
        <v>120.3</v>
      </c>
    </row>
    <row r="72" spans="1:34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 s="3">
        <f t="shared" si="4"/>
        <v>121.32307692307691</v>
      </c>
      <c r="R72" s="3">
        <v>126.4</v>
      </c>
      <c r="S72">
        <v>120.7</v>
      </c>
      <c r="T72">
        <v>115.8</v>
      </c>
      <c r="U72">
        <v>120</v>
      </c>
      <c r="V72" s="3">
        <f t="shared" si="5"/>
        <v>118.83333333333333</v>
      </c>
      <c r="W72">
        <v>116.5</v>
      </c>
      <c r="X72" s="3">
        <f t="shared" si="6"/>
        <v>116.5</v>
      </c>
      <c r="Y72" s="3">
        <v>113.2</v>
      </c>
      <c r="Z72">
        <v>113</v>
      </c>
      <c r="AA72">
        <v>116.8</v>
      </c>
      <c r="AB72">
        <v>108.8</v>
      </c>
      <c r="AC72">
        <v>114.3</v>
      </c>
      <c r="AD72">
        <v>110.4</v>
      </c>
      <c r="AE72" s="3">
        <f t="shared" si="7"/>
        <v>112.66000000000001</v>
      </c>
      <c r="AF72" s="3">
        <v>120.7</v>
      </c>
      <c r="AG72" s="3">
        <v>113.4</v>
      </c>
      <c r="AH72">
        <v>118.4</v>
      </c>
    </row>
    <row r="73" spans="1:34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 s="3">
        <f t="shared" si="4"/>
        <v>120.89999999999999</v>
      </c>
      <c r="R73" s="3">
        <v>123</v>
      </c>
      <c r="S73">
        <v>122.6</v>
      </c>
      <c r="T73">
        <v>118.6</v>
      </c>
      <c r="U73">
        <v>122</v>
      </c>
      <c r="V73" s="3">
        <f t="shared" si="5"/>
        <v>121.06666666666666</v>
      </c>
      <c r="W73">
        <v>116.5</v>
      </c>
      <c r="X73" s="3">
        <f t="shared" si="6"/>
        <v>116.5</v>
      </c>
      <c r="Y73" s="3">
        <v>115.1</v>
      </c>
      <c r="Z73">
        <v>115.7</v>
      </c>
      <c r="AA73">
        <v>117.5</v>
      </c>
      <c r="AB73">
        <v>110.1</v>
      </c>
      <c r="AC73">
        <v>113.9</v>
      </c>
      <c r="AD73">
        <v>109.8</v>
      </c>
      <c r="AE73" s="3">
        <f t="shared" si="7"/>
        <v>113.39999999999998</v>
      </c>
      <c r="AF73" s="3">
        <v>119.5</v>
      </c>
      <c r="AG73" s="3">
        <v>113.8</v>
      </c>
      <c r="AH73">
        <v>119.4</v>
      </c>
    </row>
    <row r="74" spans="1:34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 s="3">
        <f t="shared" si="4"/>
        <v>120.62307692307692</v>
      </c>
      <c r="R74" s="3">
        <v>122.7</v>
      </c>
      <c r="S74">
        <v>124.4</v>
      </c>
      <c r="T74">
        <v>121.6</v>
      </c>
      <c r="U74">
        <v>124</v>
      </c>
      <c r="V74" s="3">
        <f t="shared" si="5"/>
        <v>123.33333333333333</v>
      </c>
      <c r="W74" t="s">
        <v>32</v>
      </c>
      <c r="X74" s="3">
        <f t="shared" si="6"/>
        <v>117.3</v>
      </c>
      <c r="Y74" s="3">
        <v>116.6</v>
      </c>
      <c r="Z74">
        <v>118.4</v>
      </c>
      <c r="AA74">
        <v>118.9</v>
      </c>
      <c r="AB74">
        <v>111</v>
      </c>
      <c r="AC74">
        <v>114</v>
      </c>
      <c r="AD74">
        <v>110.2</v>
      </c>
      <c r="AE74" s="3">
        <f t="shared" si="7"/>
        <v>114.5</v>
      </c>
      <c r="AF74" s="3">
        <v>118.2</v>
      </c>
      <c r="AG74" s="3">
        <v>114.5</v>
      </c>
      <c r="AH74">
        <v>120.3</v>
      </c>
    </row>
    <row r="75" spans="1:34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 s="3">
        <f t="shared" si="4"/>
        <v>121.14615384615384</v>
      </c>
      <c r="R75" s="3">
        <v>127.4</v>
      </c>
      <c r="S75">
        <v>121</v>
      </c>
      <c r="T75">
        <v>116.1</v>
      </c>
      <c r="U75">
        <v>120.2</v>
      </c>
      <c r="V75" s="3">
        <f t="shared" si="5"/>
        <v>119.10000000000001</v>
      </c>
      <c r="W75">
        <v>117.3</v>
      </c>
      <c r="X75" s="3">
        <f t="shared" si="6"/>
        <v>117.3</v>
      </c>
      <c r="Y75" s="3">
        <v>113.7</v>
      </c>
      <c r="Z75">
        <v>113.4</v>
      </c>
      <c r="AA75">
        <v>117.2</v>
      </c>
      <c r="AB75">
        <v>107.9</v>
      </c>
      <c r="AC75">
        <v>114.6</v>
      </c>
      <c r="AD75">
        <v>111.4</v>
      </c>
      <c r="AE75" s="3">
        <f t="shared" si="7"/>
        <v>112.9</v>
      </c>
      <c r="AF75" s="3">
        <v>120.8</v>
      </c>
      <c r="AG75" s="3">
        <v>113.4</v>
      </c>
      <c r="AH75">
        <v>118.5</v>
      </c>
    </row>
    <row r="76" spans="1:34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 s="3">
        <f t="shared" si="4"/>
        <v>120.71538461538461</v>
      </c>
      <c r="R76" s="3">
        <v>124</v>
      </c>
      <c r="S76">
        <v>123.1</v>
      </c>
      <c r="T76">
        <v>119.3</v>
      </c>
      <c r="U76">
        <v>122.5</v>
      </c>
      <c r="V76" s="3">
        <f t="shared" si="5"/>
        <v>121.63333333333333</v>
      </c>
      <c r="W76">
        <v>117.3</v>
      </c>
      <c r="X76" s="3">
        <f t="shared" si="6"/>
        <v>117.3</v>
      </c>
      <c r="Y76" s="3">
        <v>115.5</v>
      </c>
      <c r="Z76">
        <v>116.5</v>
      </c>
      <c r="AA76">
        <v>118.1</v>
      </c>
      <c r="AB76">
        <v>109.4</v>
      </c>
      <c r="AC76">
        <v>114.3</v>
      </c>
      <c r="AD76">
        <v>110.7</v>
      </c>
      <c r="AE76" s="3">
        <f t="shared" si="7"/>
        <v>113.8</v>
      </c>
      <c r="AF76" s="3">
        <v>119.7</v>
      </c>
      <c r="AG76" s="3">
        <v>114</v>
      </c>
      <c r="AH76">
        <v>119.5</v>
      </c>
    </row>
    <row r="77" spans="1:34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 s="3">
        <f t="shared" si="4"/>
        <v>120.81538461538459</v>
      </c>
      <c r="R77" s="3">
        <v>124.2</v>
      </c>
      <c r="S77">
        <v>125.4</v>
      </c>
      <c r="T77">
        <v>122.7</v>
      </c>
      <c r="U77">
        <v>125</v>
      </c>
      <c r="V77" s="3">
        <f t="shared" si="5"/>
        <v>124.36666666666667</v>
      </c>
      <c r="W77" t="s">
        <v>32</v>
      </c>
      <c r="X77" s="3">
        <f t="shared" si="6"/>
        <v>118.1</v>
      </c>
      <c r="Y77" s="3">
        <v>117.7</v>
      </c>
      <c r="Z77">
        <v>120</v>
      </c>
      <c r="AA77">
        <v>119.6</v>
      </c>
      <c r="AB77">
        <v>110.9</v>
      </c>
      <c r="AC77">
        <v>114.8</v>
      </c>
      <c r="AD77">
        <v>110.8</v>
      </c>
      <c r="AE77" s="3">
        <f t="shared" si="7"/>
        <v>115.22</v>
      </c>
      <c r="AF77" s="3">
        <v>118.7</v>
      </c>
      <c r="AG77" s="3">
        <v>115</v>
      </c>
      <c r="AH77">
        <v>120.6</v>
      </c>
    </row>
    <row r="78" spans="1:34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 s="3">
        <f t="shared" si="4"/>
        <v>120.85384615384616</v>
      </c>
      <c r="R78" s="3">
        <v>128.1</v>
      </c>
      <c r="S78">
        <v>121.3</v>
      </c>
      <c r="T78">
        <v>116.5</v>
      </c>
      <c r="U78">
        <v>120.6</v>
      </c>
      <c r="V78" s="3">
        <f t="shared" si="5"/>
        <v>119.46666666666665</v>
      </c>
      <c r="W78">
        <v>118.1</v>
      </c>
      <c r="X78" s="3">
        <f t="shared" si="6"/>
        <v>118.1</v>
      </c>
      <c r="Y78" s="3">
        <v>114.1</v>
      </c>
      <c r="Z78">
        <v>114</v>
      </c>
      <c r="AA78">
        <v>117.7</v>
      </c>
      <c r="AB78">
        <v>106.8</v>
      </c>
      <c r="AC78">
        <v>114.9</v>
      </c>
      <c r="AD78">
        <v>111.7</v>
      </c>
      <c r="AE78" s="3">
        <f t="shared" si="7"/>
        <v>113.02000000000001</v>
      </c>
      <c r="AF78" s="3">
        <v>120.4</v>
      </c>
      <c r="AG78" s="3">
        <v>113.2</v>
      </c>
      <c r="AH78">
        <v>118.7</v>
      </c>
    </row>
    <row r="79" spans="1:34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 s="3">
        <f t="shared" si="4"/>
        <v>120.72307692307689</v>
      </c>
      <c r="R79" s="3">
        <v>125.2</v>
      </c>
      <c r="S79">
        <v>123.8</v>
      </c>
      <c r="T79">
        <v>120.1</v>
      </c>
      <c r="U79">
        <v>123.3</v>
      </c>
      <c r="V79" s="3">
        <f t="shared" si="5"/>
        <v>122.39999999999999</v>
      </c>
      <c r="W79">
        <v>118.1</v>
      </c>
      <c r="X79" s="3">
        <f t="shared" si="6"/>
        <v>118.1</v>
      </c>
      <c r="Y79" s="3">
        <v>116.3</v>
      </c>
      <c r="Z79">
        <v>117.7</v>
      </c>
      <c r="AA79">
        <v>118.7</v>
      </c>
      <c r="AB79">
        <v>108.7</v>
      </c>
      <c r="AC79">
        <v>114.9</v>
      </c>
      <c r="AD79">
        <v>111.2</v>
      </c>
      <c r="AE79" s="3">
        <f t="shared" si="7"/>
        <v>114.24000000000001</v>
      </c>
      <c r="AF79" s="3">
        <v>119.7</v>
      </c>
      <c r="AG79" s="3">
        <v>114.1</v>
      </c>
      <c r="AH79">
        <v>119.7</v>
      </c>
    </row>
    <row r="80" spans="1:34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 s="3">
        <f t="shared" si="4"/>
        <v>120.88461538461539</v>
      </c>
      <c r="R80" s="3">
        <v>124.7</v>
      </c>
      <c r="S80">
        <v>126</v>
      </c>
      <c r="T80">
        <v>122.9</v>
      </c>
      <c r="U80">
        <v>125.5</v>
      </c>
      <c r="V80" s="3">
        <f t="shared" si="5"/>
        <v>124.8</v>
      </c>
      <c r="W80" t="s">
        <v>32</v>
      </c>
      <c r="X80" s="3">
        <f t="shared" si="6"/>
        <v>118.6</v>
      </c>
      <c r="Y80" s="3">
        <v>118.2</v>
      </c>
      <c r="Z80">
        <v>120.6</v>
      </c>
      <c r="AA80">
        <v>120.2</v>
      </c>
      <c r="AB80">
        <v>111.6</v>
      </c>
      <c r="AC80">
        <v>115.5</v>
      </c>
      <c r="AD80">
        <v>110.8</v>
      </c>
      <c r="AE80" s="3">
        <f t="shared" si="7"/>
        <v>115.73999999999998</v>
      </c>
      <c r="AF80" s="3">
        <v>119.4</v>
      </c>
      <c r="AG80" s="3">
        <v>115.5</v>
      </c>
      <c r="AH80">
        <v>121.1</v>
      </c>
    </row>
    <row r="81" spans="1:34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 s="3">
        <f t="shared" si="4"/>
        <v>120.61538461538463</v>
      </c>
      <c r="R81" s="3">
        <v>128.80000000000001</v>
      </c>
      <c r="S81">
        <v>121.7</v>
      </c>
      <c r="T81">
        <v>116.9</v>
      </c>
      <c r="U81">
        <v>120.9</v>
      </c>
      <c r="V81" s="3">
        <f t="shared" si="5"/>
        <v>119.83333333333333</v>
      </c>
      <c r="W81">
        <v>118.6</v>
      </c>
      <c r="X81" s="3">
        <f t="shared" si="6"/>
        <v>118.6</v>
      </c>
      <c r="Y81" s="3">
        <v>114.3</v>
      </c>
      <c r="Z81">
        <v>114.4</v>
      </c>
      <c r="AA81">
        <v>118</v>
      </c>
      <c r="AB81">
        <v>108.4</v>
      </c>
      <c r="AC81">
        <v>115.4</v>
      </c>
      <c r="AD81">
        <v>111.3</v>
      </c>
      <c r="AE81" s="3">
        <f t="shared" si="7"/>
        <v>113.5</v>
      </c>
      <c r="AF81" s="3">
        <v>120.6</v>
      </c>
      <c r="AG81" s="3">
        <v>113.8</v>
      </c>
      <c r="AH81">
        <v>119.1</v>
      </c>
    </row>
    <row r="82" spans="1:34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 s="3">
        <f t="shared" si="4"/>
        <v>120.69999999999999</v>
      </c>
      <c r="R82" s="3">
        <v>125.8</v>
      </c>
      <c r="S82">
        <v>124.3</v>
      </c>
      <c r="T82">
        <v>120.4</v>
      </c>
      <c r="U82">
        <v>123.7</v>
      </c>
      <c r="V82" s="3">
        <f t="shared" si="5"/>
        <v>122.8</v>
      </c>
      <c r="W82">
        <v>118.6</v>
      </c>
      <c r="X82" s="3">
        <f t="shared" si="6"/>
        <v>118.6</v>
      </c>
      <c r="Y82" s="3">
        <v>116.7</v>
      </c>
      <c r="Z82">
        <v>118.3</v>
      </c>
      <c r="AA82">
        <v>119.2</v>
      </c>
      <c r="AB82">
        <v>109.9</v>
      </c>
      <c r="AC82">
        <v>115.4</v>
      </c>
      <c r="AD82">
        <v>111</v>
      </c>
      <c r="AE82" s="3">
        <f t="shared" si="7"/>
        <v>114.75999999999999</v>
      </c>
      <c r="AF82" s="3">
        <v>120.1</v>
      </c>
      <c r="AG82" s="3">
        <v>114.7</v>
      </c>
      <c r="AH82">
        <v>120.2</v>
      </c>
    </row>
    <row r="83" spans="1:34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 s="3">
        <f t="shared" si="4"/>
        <v>121.32307692307693</v>
      </c>
      <c r="R83" s="3">
        <v>125.7</v>
      </c>
      <c r="S83">
        <v>126.4</v>
      </c>
      <c r="T83">
        <v>123.3</v>
      </c>
      <c r="U83">
        <v>126</v>
      </c>
      <c r="V83" s="3">
        <f t="shared" si="5"/>
        <v>125.23333333333333</v>
      </c>
      <c r="W83" t="s">
        <v>32</v>
      </c>
      <c r="X83" s="3">
        <f t="shared" si="6"/>
        <v>119.2</v>
      </c>
      <c r="Y83" s="3">
        <v>118.6</v>
      </c>
      <c r="Z83">
        <v>121.2</v>
      </c>
      <c r="AA83">
        <v>120.9</v>
      </c>
      <c r="AB83">
        <v>111.9</v>
      </c>
      <c r="AC83">
        <v>116.2</v>
      </c>
      <c r="AD83">
        <v>111.6</v>
      </c>
      <c r="AE83" s="3">
        <f t="shared" si="7"/>
        <v>116.35999999999999</v>
      </c>
      <c r="AF83" s="3">
        <v>119.9</v>
      </c>
      <c r="AG83" s="3">
        <v>116</v>
      </c>
      <c r="AH83">
        <v>121.5</v>
      </c>
    </row>
    <row r="84" spans="1:34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 s="3">
        <f t="shared" si="4"/>
        <v>121.23846153846154</v>
      </c>
      <c r="R84" s="3">
        <v>130.1</v>
      </c>
      <c r="S84">
        <v>122.1</v>
      </c>
      <c r="T84">
        <v>117.2</v>
      </c>
      <c r="U84">
        <v>121.3</v>
      </c>
      <c r="V84" s="3">
        <f t="shared" si="5"/>
        <v>120.2</v>
      </c>
      <c r="W84">
        <v>119.2</v>
      </c>
      <c r="X84" s="3">
        <f t="shared" si="6"/>
        <v>119.2</v>
      </c>
      <c r="Y84" s="3">
        <v>114.6</v>
      </c>
      <c r="Z84">
        <v>114.7</v>
      </c>
      <c r="AA84">
        <v>118.4</v>
      </c>
      <c r="AB84">
        <v>108.4</v>
      </c>
      <c r="AC84">
        <v>115.6</v>
      </c>
      <c r="AD84">
        <v>111.8</v>
      </c>
      <c r="AE84" s="3">
        <f t="shared" si="7"/>
        <v>113.78</v>
      </c>
      <c r="AF84" s="3">
        <v>121.7</v>
      </c>
      <c r="AG84" s="3">
        <v>114.2</v>
      </c>
      <c r="AH84">
        <v>119.7</v>
      </c>
    </row>
    <row r="85" spans="1:34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 s="3">
        <f t="shared" si="4"/>
        <v>121.20769230769231</v>
      </c>
      <c r="R85" s="3">
        <v>126.9</v>
      </c>
      <c r="S85">
        <v>124.7</v>
      </c>
      <c r="T85">
        <v>120.8</v>
      </c>
      <c r="U85">
        <v>124.1</v>
      </c>
      <c r="V85" s="3">
        <f t="shared" si="5"/>
        <v>123.2</v>
      </c>
      <c r="W85">
        <v>119.2</v>
      </c>
      <c r="X85" s="3">
        <f t="shared" si="6"/>
        <v>119.2</v>
      </c>
      <c r="Y85" s="3">
        <v>117.1</v>
      </c>
      <c r="Z85">
        <v>118.7</v>
      </c>
      <c r="AA85">
        <v>119.7</v>
      </c>
      <c r="AB85">
        <v>110.1</v>
      </c>
      <c r="AC85">
        <v>115.9</v>
      </c>
      <c r="AD85">
        <v>111.7</v>
      </c>
      <c r="AE85" s="3">
        <f t="shared" si="7"/>
        <v>115.22</v>
      </c>
      <c r="AF85" s="3">
        <v>121</v>
      </c>
      <c r="AG85" s="3">
        <v>115.1</v>
      </c>
      <c r="AH85">
        <v>120.7</v>
      </c>
    </row>
    <row r="86" spans="1:34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 s="3">
        <f t="shared" si="4"/>
        <v>122.13076923076923</v>
      </c>
      <c r="R86" s="3">
        <v>126.7</v>
      </c>
      <c r="S86">
        <v>127.3</v>
      </c>
      <c r="T86">
        <v>124.1</v>
      </c>
      <c r="U86">
        <v>126.8</v>
      </c>
      <c r="V86" s="3">
        <f t="shared" si="5"/>
        <v>126.06666666666666</v>
      </c>
      <c r="W86" t="s">
        <v>32</v>
      </c>
      <c r="X86" s="3">
        <f t="shared" si="6"/>
        <v>119.6</v>
      </c>
      <c r="Y86" s="3">
        <v>119.4</v>
      </c>
      <c r="Z86">
        <v>121.9</v>
      </c>
      <c r="AA86">
        <v>121.5</v>
      </c>
      <c r="AB86">
        <v>113.3</v>
      </c>
      <c r="AC86">
        <v>116.7</v>
      </c>
      <c r="AD86">
        <v>112.3</v>
      </c>
      <c r="AE86" s="3">
        <f t="shared" si="7"/>
        <v>117.13999999999999</v>
      </c>
      <c r="AF86" s="3">
        <v>120.5</v>
      </c>
      <c r="AG86" s="3">
        <v>116.9</v>
      </c>
      <c r="AH86">
        <v>122.4</v>
      </c>
    </row>
    <row r="87" spans="1:34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 s="3">
        <f t="shared" si="4"/>
        <v>122.9923076923077</v>
      </c>
      <c r="R87" s="3">
        <v>131.30000000000001</v>
      </c>
      <c r="S87">
        <v>122.4</v>
      </c>
      <c r="T87">
        <v>117.4</v>
      </c>
      <c r="U87">
        <v>121.6</v>
      </c>
      <c r="V87" s="3">
        <f t="shared" si="5"/>
        <v>120.46666666666665</v>
      </c>
      <c r="W87">
        <v>119.6</v>
      </c>
      <c r="X87" s="3">
        <f t="shared" si="6"/>
        <v>119.6</v>
      </c>
      <c r="Y87" s="3">
        <v>114.9</v>
      </c>
      <c r="Z87">
        <v>114.9</v>
      </c>
      <c r="AA87">
        <v>118.7</v>
      </c>
      <c r="AB87">
        <v>110.8</v>
      </c>
      <c r="AC87">
        <v>116</v>
      </c>
      <c r="AD87">
        <v>112.4</v>
      </c>
      <c r="AE87" s="3">
        <f t="shared" si="7"/>
        <v>114.56000000000002</v>
      </c>
      <c r="AF87" s="3">
        <v>122</v>
      </c>
      <c r="AG87" s="3">
        <v>115.2</v>
      </c>
      <c r="AH87">
        <v>120.7</v>
      </c>
    </row>
    <row r="88" spans="1:34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 s="3">
        <f t="shared" si="4"/>
        <v>122.33846153846154</v>
      </c>
      <c r="R88" s="3">
        <v>127.9</v>
      </c>
      <c r="S88">
        <v>125.4</v>
      </c>
      <c r="T88">
        <v>121.3</v>
      </c>
      <c r="U88">
        <v>124.7</v>
      </c>
      <c r="V88" s="3">
        <f t="shared" si="5"/>
        <v>123.8</v>
      </c>
      <c r="W88">
        <v>119.6</v>
      </c>
      <c r="X88" s="3">
        <f t="shared" si="6"/>
        <v>119.6</v>
      </c>
      <c r="Y88" s="3">
        <v>117.7</v>
      </c>
      <c r="Z88">
        <v>119.2</v>
      </c>
      <c r="AA88">
        <v>120.2</v>
      </c>
      <c r="AB88">
        <v>112</v>
      </c>
      <c r="AC88">
        <v>116.3</v>
      </c>
      <c r="AD88">
        <v>112.3</v>
      </c>
      <c r="AE88" s="3">
        <f t="shared" si="7"/>
        <v>116</v>
      </c>
      <c r="AF88" s="3">
        <v>121.4</v>
      </c>
      <c r="AG88" s="3">
        <v>116.1</v>
      </c>
      <c r="AH88">
        <v>121.6</v>
      </c>
    </row>
    <row r="89" spans="1:34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 s="3">
        <f t="shared" si="4"/>
        <v>124.45384615384614</v>
      </c>
      <c r="R89" s="3">
        <v>128.19999999999999</v>
      </c>
      <c r="S89">
        <v>128.4</v>
      </c>
      <c r="T89">
        <v>125.1</v>
      </c>
      <c r="U89">
        <v>128</v>
      </c>
      <c r="V89" s="3">
        <f t="shared" si="5"/>
        <v>127.16666666666667</v>
      </c>
      <c r="W89" t="s">
        <v>32</v>
      </c>
      <c r="X89" s="3">
        <f t="shared" si="6"/>
        <v>119</v>
      </c>
      <c r="Y89" s="3">
        <v>120.4</v>
      </c>
      <c r="Z89">
        <v>122.6</v>
      </c>
      <c r="AA89">
        <v>122.8</v>
      </c>
      <c r="AB89">
        <v>114.2</v>
      </c>
      <c r="AC89">
        <v>117.9</v>
      </c>
      <c r="AD89">
        <v>113</v>
      </c>
      <c r="AE89" s="3">
        <f t="shared" si="7"/>
        <v>118.1</v>
      </c>
      <c r="AF89" s="3">
        <v>122</v>
      </c>
      <c r="AG89" s="3">
        <v>117.9</v>
      </c>
      <c r="AH89">
        <v>124.1</v>
      </c>
    </row>
    <row r="90" spans="1:34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 s="3">
        <f t="shared" si="4"/>
        <v>125.89230769230768</v>
      </c>
      <c r="R90" s="3">
        <v>132.1</v>
      </c>
      <c r="S90">
        <v>123.2</v>
      </c>
      <c r="T90">
        <v>117.6</v>
      </c>
      <c r="U90">
        <v>122.3</v>
      </c>
      <c r="V90" s="3">
        <f t="shared" si="5"/>
        <v>121.03333333333335</v>
      </c>
      <c r="W90">
        <v>119</v>
      </c>
      <c r="X90" s="3">
        <f t="shared" si="6"/>
        <v>119</v>
      </c>
      <c r="Y90" s="3">
        <v>115.4</v>
      </c>
      <c r="Z90">
        <v>115.1</v>
      </c>
      <c r="AA90">
        <v>119.2</v>
      </c>
      <c r="AB90">
        <v>111.7</v>
      </c>
      <c r="AC90">
        <v>116.2</v>
      </c>
      <c r="AD90">
        <v>112.5</v>
      </c>
      <c r="AE90" s="3">
        <f t="shared" si="7"/>
        <v>114.94000000000001</v>
      </c>
      <c r="AF90" s="3">
        <v>123.8</v>
      </c>
      <c r="AG90" s="3">
        <v>116</v>
      </c>
      <c r="AH90">
        <v>121.7</v>
      </c>
    </row>
    <row r="91" spans="1:34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 s="3">
        <f t="shared" si="4"/>
        <v>124.88461538461539</v>
      </c>
      <c r="R91" s="3">
        <v>129.19999999999999</v>
      </c>
      <c r="S91">
        <v>126.4</v>
      </c>
      <c r="T91">
        <v>122</v>
      </c>
      <c r="U91">
        <v>125.7</v>
      </c>
      <c r="V91" s="3">
        <f t="shared" si="5"/>
        <v>124.7</v>
      </c>
      <c r="W91">
        <v>119</v>
      </c>
      <c r="X91" s="3">
        <f t="shared" si="6"/>
        <v>119</v>
      </c>
      <c r="Y91" s="3">
        <v>118.5</v>
      </c>
      <c r="Z91">
        <v>119.8</v>
      </c>
      <c r="AA91">
        <v>121.1</v>
      </c>
      <c r="AB91">
        <v>112.9</v>
      </c>
      <c r="AC91">
        <v>116.9</v>
      </c>
      <c r="AD91">
        <v>112.8</v>
      </c>
      <c r="AE91" s="3">
        <f t="shared" si="7"/>
        <v>116.69999999999997</v>
      </c>
      <c r="AF91" s="3">
        <v>123.1</v>
      </c>
      <c r="AG91" s="3">
        <v>117</v>
      </c>
      <c r="AH91">
        <v>123</v>
      </c>
    </row>
    <row r="92" spans="1:34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 s="3">
        <f t="shared" si="4"/>
        <v>125.02307692307691</v>
      </c>
      <c r="R92" s="3">
        <v>129.4</v>
      </c>
      <c r="S92">
        <v>128.80000000000001</v>
      </c>
      <c r="T92">
        <v>125.5</v>
      </c>
      <c r="U92">
        <v>128.30000000000001</v>
      </c>
      <c r="V92" s="3">
        <f t="shared" si="5"/>
        <v>127.53333333333335</v>
      </c>
      <c r="W92" t="s">
        <v>32</v>
      </c>
      <c r="X92" s="3">
        <f t="shared" si="6"/>
        <v>119.9</v>
      </c>
      <c r="Y92" s="3">
        <v>120.8</v>
      </c>
      <c r="Z92">
        <v>123</v>
      </c>
      <c r="AA92">
        <v>123</v>
      </c>
      <c r="AB92">
        <v>114.1</v>
      </c>
      <c r="AC92">
        <v>118</v>
      </c>
      <c r="AD92">
        <v>112.7</v>
      </c>
      <c r="AE92" s="3">
        <f t="shared" si="7"/>
        <v>118.16000000000001</v>
      </c>
      <c r="AF92" s="3">
        <v>122.9</v>
      </c>
      <c r="AG92" s="3">
        <v>118.1</v>
      </c>
      <c r="AH92">
        <v>124.7</v>
      </c>
    </row>
    <row r="93" spans="1:34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 s="3">
        <f t="shared" si="4"/>
        <v>126.37692307692306</v>
      </c>
      <c r="R93" s="3">
        <v>133.1</v>
      </c>
      <c r="S93">
        <v>123.5</v>
      </c>
      <c r="T93">
        <v>117.9</v>
      </c>
      <c r="U93">
        <v>122.7</v>
      </c>
      <c r="V93" s="3">
        <f t="shared" si="5"/>
        <v>121.36666666666667</v>
      </c>
      <c r="W93">
        <v>119.9</v>
      </c>
      <c r="X93" s="3">
        <f t="shared" si="6"/>
        <v>119.9</v>
      </c>
      <c r="Y93" s="3">
        <v>116</v>
      </c>
      <c r="Z93">
        <v>115.3</v>
      </c>
      <c r="AA93">
        <v>119.5</v>
      </c>
      <c r="AB93">
        <v>111.5</v>
      </c>
      <c r="AC93">
        <v>116.6</v>
      </c>
      <c r="AD93">
        <v>111.7</v>
      </c>
      <c r="AE93" s="3">
        <f t="shared" si="7"/>
        <v>114.92</v>
      </c>
      <c r="AF93" s="3">
        <v>125.4</v>
      </c>
      <c r="AG93" s="3">
        <v>116.3</v>
      </c>
      <c r="AH93">
        <v>122.4</v>
      </c>
    </row>
    <row r="94" spans="1:34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 s="3">
        <f t="shared" si="4"/>
        <v>125.43076923076924</v>
      </c>
      <c r="R94" s="3">
        <v>130.4</v>
      </c>
      <c r="S94">
        <v>126.7</v>
      </c>
      <c r="T94">
        <v>122.3</v>
      </c>
      <c r="U94">
        <v>126.1</v>
      </c>
      <c r="V94" s="3">
        <f t="shared" si="5"/>
        <v>125.03333333333335</v>
      </c>
      <c r="W94">
        <v>119.9</v>
      </c>
      <c r="X94" s="3">
        <f t="shared" si="6"/>
        <v>119.9</v>
      </c>
      <c r="Y94" s="3">
        <v>119</v>
      </c>
      <c r="Z94">
        <v>120.1</v>
      </c>
      <c r="AA94">
        <v>121.3</v>
      </c>
      <c r="AB94">
        <v>112.7</v>
      </c>
      <c r="AC94">
        <v>117.2</v>
      </c>
      <c r="AD94">
        <v>112.3</v>
      </c>
      <c r="AE94" s="3">
        <f t="shared" si="7"/>
        <v>116.71999999999998</v>
      </c>
      <c r="AF94" s="3">
        <v>124.4</v>
      </c>
      <c r="AG94" s="3">
        <v>117.2</v>
      </c>
      <c r="AH94">
        <v>123.6</v>
      </c>
    </row>
    <row r="95" spans="1:34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 s="3">
        <f t="shared" si="4"/>
        <v>126.66153846153846</v>
      </c>
      <c r="R95" s="3">
        <v>130.1</v>
      </c>
      <c r="S95">
        <v>129.5</v>
      </c>
      <c r="T95">
        <v>126.3</v>
      </c>
      <c r="U95">
        <v>129</v>
      </c>
      <c r="V95" s="3">
        <f t="shared" si="5"/>
        <v>128.26666666666668</v>
      </c>
      <c r="W95" t="s">
        <v>32</v>
      </c>
      <c r="X95" s="3">
        <f t="shared" si="6"/>
        <v>120.9</v>
      </c>
      <c r="Y95" s="3">
        <v>121.1</v>
      </c>
      <c r="Z95">
        <v>123.8</v>
      </c>
      <c r="AA95">
        <v>123.7</v>
      </c>
      <c r="AB95">
        <v>113.6</v>
      </c>
      <c r="AC95">
        <v>118.5</v>
      </c>
      <c r="AD95">
        <v>112.5</v>
      </c>
      <c r="AE95" s="3">
        <f t="shared" si="7"/>
        <v>118.42</v>
      </c>
      <c r="AF95" s="3">
        <v>123.6</v>
      </c>
      <c r="AG95" s="3">
        <v>118.2</v>
      </c>
      <c r="AH95">
        <v>126.1</v>
      </c>
    </row>
    <row r="96" spans="1:34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 s="3">
        <f t="shared" si="4"/>
        <v>127.6076923076923</v>
      </c>
      <c r="R96" s="3">
        <v>134.19999999999999</v>
      </c>
      <c r="S96">
        <v>123.7</v>
      </c>
      <c r="T96">
        <v>118.2</v>
      </c>
      <c r="U96">
        <v>122.9</v>
      </c>
      <c r="V96" s="3">
        <f t="shared" si="5"/>
        <v>121.60000000000001</v>
      </c>
      <c r="W96">
        <v>120.9</v>
      </c>
      <c r="X96" s="3">
        <f t="shared" si="6"/>
        <v>120.9</v>
      </c>
      <c r="Y96" s="3">
        <v>116.6</v>
      </c>
      <c r="Z96">
        <v>115.3</v>
      </c>
      <c r="AA96">
        <v>120</v>
      </c>
      <c r="AB96">
        <v>109.9</v>
      </c>
      <c r="AC96">
        <v>117.2</v>
      </c>
      <c r="AD96">
        <v>112</v>
      </c>
      <c r="AE96" s="3">
        <f t="shared" si="7"/>
        <v>114.88000000000002</v>
      </c>
      <c r="AF96" s="3">
        <v>126.2</v>
      </c>
      <c r="AG96" s="3">
        <v>116.2</v>
      </c>
      <c r="AH96">
        <v>123.2</v>
      </c>
    </row>
    <row r="97" spans="1:34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 s="3">
        <f t="shared" si="4"/>
        <v>126.89230769230768</v>
      </c>
      <c r="R97" s="3">
        <v>131.19999999999999</v>
      </c>
      <c r="S97">
        <v>127.2</v>
      </c>
      <c r="T97">
        <v>122.9</v>
      </c>
      <c r="U97">
        <v>126.6</v>
      </c>
      <c r="V97" s="3">
        <f t="shared" si="5"/>
        <v>125.56666666666668</v>
      </c>
      <c r="W97">
        <v>120.9</v>
      </c>
      <c r="X97" s="3">
        <f t="shared" si="6"/>
        <v>120.9</v>
      </c>
      <c r="Y97" s="3">
        <v>119.4</v>
      </c>
      <c r="Z97">
        <v>120.6</v>
      </c>
      <c r="AA97">
        <v>122</v>
      </c>
      <c r="AB97">
        <v>111.7</v>
      </c>
      <c r="AC97">
        <v>117.8</v>
      </c>
      <c r="AD97">
        <v>112.3</v>
      </c>
      <c r="AE97" s="3">
        <f t="shared" si="7"/>
        <v>116.88</v>
      </c>
      <c r="AF97" s="3">
        <v>125.1</v>
      </c>
      <c r="AG97" s="3">
        <v>117.2</v>
      </c>
      <c r="AH97">
        <v>124.8</v>
      </c>
    </row>
    <row r="98" spans="1:34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 s="3">
        <f t="shared" si="4"/>
        <v>127.50769230769232</v>
      </c>
      <c r="R98" s="3">
        <v>131</v>
      </c>
      <c r="S98">
        <v>130.4</v>
      </c>
      <c r="T98">
        <v>126.8</v>
      </c>
      <c r="U98">
        <v>129.9</v>
      </c>
      <c r="V98" s="3">
        <f t="shared" si="5"/>
        <v>129.03333333333333</v>
      </c>
      <c r="W98" t="s">
        <v>32</v>
      </c>
      <c r="X98" s="3">
        <f t="shared" si="6"/>
        <v>121.6</v>
      </c>
      <c r="Y98" s="3">
        <v>121.4</v>
      </c>
      <c r="Z98">
        <v>123.7</v>
      </c>
      <c r="AA98">
        <v>124.5</v>
      </c>
      <c r="AB98">
        <v>113.8</v>
      </c>
      <c r="AC98">
        <v>119.6</v>
      </c>
      <c r="AD98">
        <v>113.7</v>
      </c>
      <c r="AE98" s="3">
        <f t="shared" si="7"/>
        <v>119.06000000000002</v>
      </c>
      <c r="AF98" s="3">
        <v>124.5</v>
      </c>
      <c r="AG98" s="3">
        <v>118.8</v>
      </c>
      <c r="AH98">
        <v>127</v>
      </c>
    </row>
    <row r="99" spans="1:34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 s="3">
        <f t="shared" si="4"/>
        <v>128.06153846153845</v>
      </c>
      <c r="R99" s="3">
        <v>134.69999999999999</v>
      </c>
      <c r="S99">
        <v>124</v>
      </c>
      <c r="T99">
        <v>118.6</v>
      </c>
      <c r="U99">
        <v>123.2</v>
      </c>
      <c r="V99" s="3">
        <f t="shared" si="5"/>
        <v>121.93333333333334</v>
      </c>
      <c r="W99">
        <v>121.6</v>
      </c>
      <c r="X99" s="3">
        <f t="shared" si="6"/>
        <v>121.6</v>
      </c>
      <c r="Y99" s="3">
        <v>117.1</v>
      </c>
      <c r="Z99">
        <v>115.1</v>
      </c>
      <c r="AA99">
        <v>120.4</v>
      </c>
      <c r="AB99">
        <v>109.1</v>
      </c>
      <c r="AC99">
        <v>117.3</v>
      </c>
      <c r="AD99">
        <v>112.9</v>
      </c>
      <c r="AE99" s="3">
        <f t="shared" si="7"/>
        <v>114.96000000000001</v>
      </c>
      <c r="AF99" s="3">
        <v>126.5</v>
      </c>
      <c r="AG99" s="3">
        <v>116.2</v>
      </c>
      <c r="AH99">
        <v>123.5</v>
      </c>
    </row>
    <row r="100" spans="1:34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 s="3">
        <f t="shared" si="4"/>
        <v>127.56153846153848</v>
      </c>
      <c r="R100" s="3">
        <v>132</v>
      </c>
      <c r="S100">
        <v>127.9</v>
      </c>
      <c r="T100">
        <v>123.4</v>
      </c>
      <c r="U100">
        <v>127.2</v>
      </c>
      <c r="V100" s="3">
        <f t="shared" si="5"/>
        <v>126.16666666666667</v>
      </c>
      <c r="W100">
        <v>121.6</v>
      </c>
      <c r="X100" s="3">
        <f t="shared" si="6"/>
        <v>121.6</v>
      </c>
      <c r="Y100" s="3">
        <v>119.8</v>
      </c>
      <c r="Z100">
        <v>120.4</v>
      </c>
      <c r="AA100">
        <v>122.6</v>
      </c>
      <c r="AB100">
        <v>111.3</v>
      </c>
      <c r="AC100">
        <v>118.3</v>
      </c>
      <c r="AD100">
        <v>113.4</v>
      </c>
      <c r="AE100" s="3">
        <f t="shared" si="7"/>
        <v>117.2</v>
      </c>
      <c r="AF100" s="3">
        <v>125.7</v>
      </c>
      <c r="AG100" s="3">
        <v>117.5</v>
      </c>
      <c r="AH100">
        <v>125.4</v>
      </c>
    </row>
    <row r="101" spans="1:34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 s="3">
        <f t="shared" si="4"/>
        <v>128.8153846153846</v>
      </c>
      <c r="R101" s="3">
        <v>131.5</v>
      </c>
      <c r="S101">
        <v>131.1</v>
      </c>
      <c r="T101">
        <v>127.3</v>
      </c>
      <c r="U101">
        <v>130.6</v>
      </c>
      <c r="V101" s="3">
        <f t="shared" si="5"/>
        <v>129.66666666666666</v>
      </c>
      <c r="W101" t="s">
        <v>32</v>
      </c>
      <c r="X101" s="3">
        <f t="shared" si="6"/>
        <v>122.4</v>
      </c>
      <c r="Y101" s="3">
        <v>122</v>
      </c>
      <c r="Z101">
        <v>124.4</v>
      </c>
      <c r="AA101">
        <v>125.1</v>
      </c>
      <c r="AB101">
        <v>113.8</v>
      </c>
      <c r="AC101">
        <v>120.1</v>
      </c>
      <c r="AD101">
        <v>114.2</v>
      </c>
      <c r="AE101" s="3">
        <f t="shared" si="7"/>
        <v>119.52000000000001</v>
      </c>
      <c r="AF101" s="3">
        <v>125.1</v>
      </c>
      <c r="AG101" s="3">
        <v>119.2</v>
      </c>
      <c r="AH101">
        <v>127.7</v>
      </c>
    </row>
    <row r="102" spans="1:34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 s="3">
        <f t="shared" si="4"/>
        <v>130.21538461538464</v>
      </c>
      <c r="R102" s="3">
        <v>135.30000000000001</v>
      </c>
      <c r="S102">
        <v>124.4</v>
      </c>
      <c r="T102">
        <v>118.8</v>
      </c>
      <c r="U102">
        <v>123.6</v>
      </c>
      <c r="V102" s="3">
        <f t="shared" si="5"/>
        <v>122.26666666666665</v>
      </c>
      <c r="W102">
        <v>122.4</v>
      </c>
      <c r="X102" s="3">
        <f t="shared" si="6"/>
        <v>122.4</v>
      </c>
      <c r="Y102" s="3">
        <v>117.7</v>
      </c>
      <c r="Z102">
        <v>114.9</v>
      </c>
      <c r="AA102">
        <v>120.7</v>
      </c>
      <c r="AB102">
        <v>109.3</v>
      </c>
      <c r="AC102">
        <v>117.7</v>
      </c>
      <c r="AD102">
        <v>113.5</v>
      </c>
      <c r="AE102" s="3">
        <f t="shared" si="7"/>
        <v>115.22</v>
      </c>
      <c r="AF102" s="3">
        <v>126.5</v>
      </c>
      <c r="AG102" s="3">
        <v>116.5</v>
      </c>
      <c r="AH102">
        <v>124.2</v>
      </c>
    </row>
    <row r="103" spans="1:34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 s="3">
        <f t="shared" si="4"/>
        <v>129.15384615384613</v>
      </c>
      <c r="R103" s="3">
        <v>132.5</v>
      </c>
      <c r="S103">
        <v>128.5</v>
      </c>
      <c r="T103">
        <v>123.8</v>
      </c>
      <c r="U103">
        <v>127.8</v>
      </c>
      <c r="V103" s="3">
        <f t="shared" si="5"/>
        <v>126.7</v>
      </c>
      <c r="W103">
        <v>122.4</v>
      </c>
      <c r="X103" s="3">
        <f t="shared" si="6"/>
        <v>122.4</v>
      </c>
      <c r="Y103" s="3">
        <v>120.4</v>
      </c>
      <c r="Z103">
        <v>120.8</v>
      </c>
      <c r="AA103">
        <v>123</v>
      </c>
      <c r="AB103">
        <v>111.4</v>
      </c>
      <c r="AC103">
        <v>118.7</v>
      </c>
      <c r="AD103">
        <v>113.9</v>
      </c>
      <c r="AE103" s="3">
        <f t="shared" si="7"/>
        <v>117.56000000000002</v>
      </c>
      <c r="AF103" s="3">
        <v>125.9</v>
      </c>
      <c r="AG103" s="3">
        <v>117.9</v>
      </c>
      <c r="AH103">
        <v>126.1</v>
      </c>
    </row>
    <row r="104" spans="1:34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 s="3">
        <f t="shared" si="4"/>
        <v>129.71538461538461</v>
      </c>
      <c r="R104" s="3">
        <v>132.19999999999999</v>
      </c>
      <c r="S104">
        <v>132.1</v>
      </c>
      <c r="T104">
        <v>128.19999999999999</v>
      </c>
      <c r="U104">
        <v>131.5</v>
      </c>
      <c r="V104" s="3">
        <f t="shared" si="5"/>
        <v>130.6</v>
      </c>
      <c r="W104" t="s">
        <v>32</v>
      </c>
      <c r="X104" s="3">
        <f t="shared" si="6"/>
        <v>122.9</v>
      </c>
      <c r="Y104" s="3">
        <v>122.6</v>
      </c>
      <c r="Z104">
        <v>125.6</v>
      </c>
      <c r="AA104">
        <v>125.6</v>
      </c>
      <c r="AB104">
        <v>114</v>
      </c>
      <c r="AC104">
        <v>120.9</v>
      </c>
      <c r="AD104">
        <v>114.2</v>
      </c>
      <c r="AE104" s="3">
        <f t="shared" si="7"/>
        <v>120.06000000000002</v>
      </c>
      <c r="AF104" s="3">
        <v>125.8</v>
      </c>
      <c r="AG104" s="3">
        <v>119.6</v>
      </c>
      <c r="AH104">
        <v>128.30000000000001</v>
      </c>
    </row>
    <row r="105" spans="1:34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 s="3">
        <f t="shared" si="4"/>
        <v>131.42307692307691</v>
      </c>
      <c r="R105" s="3">
        <v>137.6</v>
      </c>
      <c r="S105">
        <v>125</v>
      </c>
      <c r="T105">
        <v>119.3</v>
      </c>
      <c r="U105">
        <v>124.2</v>
      </c>
      <c r="V105" s="3">
        <f t="shared" si="5"/>
        <v>122.83333333333333</v>
      </c>
      <c r="W105">
        <v>122.9</v>
      </c>
      <c r="X105" s="3">
        <f t="shared" si="6"/>
        <v>122.9</v>
      </c>
      <c r="Y105" s="3">
        <v>118.1</v>
      </c>
      <c r="Z105">
        <v>115.1</v>
      </c>
      <c r="AA105">
        <v>121</v>
      </c>
      <c r="AB105">
        <v>109.3</v>
      </c>
      <c r="AC105">
        <v>117.9</v>
      </c>
      <c r="AD105">
        <v>113.3</v>
      </c>
      <c r="AE105" s="3">
        <f t="shared" si="7"/>
        <v>115.31999999999998</v>
      </c>
      <c r="AF105" s="3">
        <v>126.6</v>
      </c>
      <c r="AG105" s="3">
        <v>116.6</v>
      </c>
      <c r="AH105">
        <v>124.6</v>
      </c>
    </row>
    <row r="106" spans="1:34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 s="3">
        <f t="shared" si="4"/>
        <v>130.16153846153844</v>
      </c>
      <c r="R106" s="3">
        <v>133.6</v>
      </c>
      <c r="S106">
        <v>129.30000000000001</v>
      </c>
      <c r="T106">
        <v>124.5</v>
      </c>
      <c r="U106">
        <v>128.6</v>
      </c>
      <c r="V106" s="3">
        <f t="shared" si="5"/>
        <v>127.46666666666665</v>
      </c>
      <c r="W106">
        <v>122.9</v>
      </c>
      <c r="X106" s="3">
        <f t="shared" si="6"/>
        <v>122.9</v>
      </c>
      <c r="Y106" s="3">
        <v>120.9</v>
      </c>
      <c r="Z106">
        <v>121.6</v>
      </c>
      <c r="AA106">
        <v>123.4</v>
      </c>
      <c r="AB106">
        <v>111.5</v>
      </c>
      <c r="AC106">
        <v>119.2</v>
      </c>
      <c r="AD106">
        <v>113.8</v>
      </c>
      <c r="AE106" s="3">
        <f t="shared" si="7"/>
        <v>117.9</v>
      </c>
      <c r="AF106" s="3">
        <v>126.3</v>
      </c>
      <c r="AG106" s="3">
        <v>118.1</v>
      </c>
      <c r="AH106">
        <v>126.6</v>
      </c>
    </row>
    <row r="107" spans="1:34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 s="3">
        <f t="shared" si="4"/>
        <v>129.40769230769232</v>
      </c>
      <c r="R107" s="3">
        <v>133.1</v>
      </c>
      <c r="S107">
        <v>132.5</v>
      </c>
      <c r="T107">
        <v>128.5</v>
      </c>
      <c r="U107">
        <v>131.9</v>
      </c>
      <c r="V107" s="3">
        <f t="shared" si="5"/>
        <v>130.96666666666667</v>
      </c>
      <c r="W107" t="s">
        <v>32</v>
      </c>
      <c r="X107" s="3">
        <f t="shared" si="6"/>
        <v>122.4</v>
      </c>
      <c r="Y107" s="3">
        <v>123.1</v>
      </c>
      <c r="Z107">
        <v>125.7</v>
      </c>
      <c r="AA107">
        <v>126</v>
      </c>
      <c r="AB107">
        <v>114</v>
      </c>
      <c r="AC107">
        <v>121.6</v>
      </c>
      <c r="AD107">
        <v>114.1</v>
      </c>
      <c r="AE107" s="3">
        <f t="shared" si="7"/>
        <v>120.28</v>
      </c>
      <c r="AF107" s="3">
        <v>125.6</v>
      </c>
      <c r="AG107" s="3">
        <v>119.8</v>
      </c>
      <c r="AH107">
        <v>127.9</v>
      </c>
    </row>
    <row r="108" spans="1:34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 s="3">
        <f t="shared" si="4"/>
        <v>130.67692307692306</v>
      </c>
      <c r="R108" s="3">
        <v>138.19999999999999</v>
      </c>
      <c r="S108">
        <v>125.4</v>
      </c>
      <c r="T108">
        <v>119.5</v>
      </c>
      <c r="U108">
        <v>124.5</v>
      </c>
      <c r="V108" s="3">
        <f t="shared" si="5"/>
        <v>123.13333333333333</v>
      </c>
      <c r="W108">
        <v>122.4</v>
      </c>
      <c r="X108" s="3">
        <f t="shared" si="6"/>
        <v>122.4</v>
      </c>
      <c r="Y108" s="3">
        <v>118.6</v>
      </c>
      <c r="Z108">
        <v>116</v>
      </c>
      <c r="AA108">
        <v>121</v>
      </c>
      <c r="AB108">
        <v>109.3</v>
      </c>
      <c r="AC108">
        <v>118.1</v>
      </c>
      <c r="AD108">
        <v>113.2</v>
      </c>
      <c r="AE108" s="3">
        <f t="shared" si="7"/>
        <v>115.52000000000001</v>
      </c>
      <c r="AF108" s="3">
        <v>126.6</v>
      </c>
      <c r="AG108" s="3">
        <v>116.7</v>
      </c>
      <c r="AH108">
        <v>124</v>
      </c>
    </row>
    <row r="109" spans="1:34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 s="3">
        <f t="shared" si="4"/>
        <v>129.70000000000002</v>
      </c>
      <c r="R109" s="3">
        <v>134.5</v>
      </c>
      <c r="S109">
        <v>129.69999999999999</v>
      </c>
      <c r="T109">
        <v>124.8</v>
      </c>
      <c r="U109">
        <v>129</v>
      </c>
      <c r="V109" s="3">
        <f t="shared" si="5"/>
        <v>127.83333333333333</v>
      </c>
      <c r="W109">
        <v>122.4</v>
      </c>
      <c r="X109" s="3">
        <f t="shared" si="6"/>
        <v>122.4</v>
      </c>
      <c r="Y109" s="3">
        <v>121.4</v>
      </c>
      <c r="Z109">
        <v>122</v>
      </c>
      <c r="AA109">
        <v>123.6</v>
      </c>
      <c r="AB109">
        <v>111.5</v>
      </c>
      <c r="AC109">
        <v>119.6</v>
      </c>
      <c r="AD109">
        <v>113.7</v>
      </c>
      <c r="AE109" s="3">
        <f t="shared" si="7"/>
        <v>118.08000000000001</v>
      </c>
      <c r="AF109" s="3">
        <v>126.2</v>
      </c>
      <c r="AG109" s="3">
        <v>118.3</v>
      </c>
      <c r="AH109">
        <v>126.1</v>
      </c>
    </row>
    <row r="110" spans="1:34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 s="3">
        <f t="shared" si="4"/>
        <v>130.00769230769231</v>
      </c>
      <c r="R110" s="3">
        <v>133.6</v>
      </c>
      <c r="S110">
        <v>133.19999999999999</v>
      </c>
      <c r="T110">
        <v>128.9</v>
      </c>
      <c r="U110">
        <v>132.6</v>
      </c>
      <c r="V110" s="3">
        <f t="shared" si="5"/>
        <v>131.56666666666669</v>
      </c>
      <c r="W110" t="s">
        <v>32</v>
      </c>
      <c r="X110" s="3">
        <f t="shared" si="6"/>
        <v>123.4</v>
      </c>
      <c r="Y110" s="3">
        <v>123.7</v>
      </c>
      <c r="Z110">
        <v>126.2</v>
      </c>
      <c r="AA110">
        <v>126.6</v>
      </c>
      <c r="AB110">
        <v>113.6</v>
      </c>
      <c r="AC110">
        <v>121.4</v>
      </c>
      <c r="AD110">
        <v>114.9</v>
      </c>
      <c r="AE110" s="3">
        <f t="shared" si="7"/>
        <v>120.53999999999999</v>
      </c>
      <c r="AF110" s="3">
        <v>126.2</v>
      </c>
      <c r="AG110" s="3">
        <v>120.1</v>
      </c>
      <c r="AH110">
        <v>128.1</v>
      </c>
    </row>
    <row r="111" spans="1:34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 s="3">
        <f t="shared" si="4"/>
        <v>130.87692307692308</v>
      </c>
      <c r="R111" s="3">
        <v>139.5</v>
      </c>
      <c r="S111">
        <v>125.8</v>
      </c>
      <c r="T111">
        <v>119.8</v>
      </c>
      <c r="U111">
        <v>124.9</v>
      </c>
      <c r="V111" s="3">
        <f t="shared" si="5"/>
        <v>123.5</v>
      </c>
      <c r="W111">
        <v>123.4</v>
      </c>
      <c r="X111" s="3">
        <f t="shared" si="6"/>
        <v>123.4</v>
      </c>
      <c r="Y111" s="3">
        <v>119.1</v>
      </c>
      <c r="Z111">
        <v>116.9</v>
      </c>
      <c r="AA111">
        <v>121.6</v>
      </c>
      <c r="AB111">
        <v>108.9</v>
      </c>
      <c r="AC111">
        <v>118.5</v>
      </c>
      <c r="AD111">
        <v>114</v>
      </c>
      <c r="AE111" s="3">
        <f t="shared" si="7"/>
        <v>115.97999999999999</v>
      </c>
      <c r="AF111" s="3">
        <v>126.4</v>
      </c>
      <c r="AG111" s="3">
        <v>116.8</v>
      </c>
      <c r="AH111">
        <v>124.2</v>
      </c>
    </row>
    <row r="112" spans="1:34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 s="3">
        <f t="shared" si="4"/>
        <v>130.13076923076923</v>
      </c>
      <c r="R112" s="3">
        <v>135.19999999999999</v>
      </c>
      <c r="S112">
        <v>130.30000000000001</v>
      </c>
      <c r="T112">
        <v>125.1</v>
      </c>
      <c r="U112">
        <v>129.5</v>
      </c>
      <c r="V112" s="3">
        <f t="shared" si="5"/>
        <v>128.29999999999998</v>
      </c>
      <c r="W112">
        <v>123.4</v>
      </c>
      <c r="X112" s="3">
        <f t="shared" si="6"/>
        <v>123.4</v>
      </c>
      <c r="Y112" s="3">
        <v>122</v>
      </c>
      <c r="Z112">
        <v>122.7</v>
      </c>
      <c r="AA112">
        <v>124.2</v>
      </c>
      <c r="AB112">
        <v>111.1</v>
      </c>
      <c r="AC112">
        <v>119.8</v>
      </c>
      <c r="AD112">
        <v>114.5</v>
      </c>
      <c r="AE112" s="3">
        <f t="shared" si="7"/>
        <v>118.46</v>
      </c>
      <c r="AF112" s="3">
        <v>126.3</v>
      </c>
      <c r="AG112" s="3">
        <v>118.5</v>
      </c>
      <c r="AH112">
        <v>126.3</v>
      </c>
    </row>
    <row r="113" spans="1:34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 s="3">
        <f t="shared" si="4"/>
        <v>129.43076923076922</v>
      </c>
      <c r="R113" s="3">
        <v>134.4</v>
      </c>
      <c r="S113">
        <v>133.9</v>
      </c>
      <c r="T113">
        <v>129.80000000000001</v>
      </c>
      <c r="U113">
        <v>133.4</v>
      </c>
      <c r="V113" s="3">
        <f t="shared" si="5"/>
        <v>132.36666666666667</v>
      </c>
      <c r="W113" t="s">
        <v>32</v>
      </c>
      <c r="X113" s="3">
        <f t="shared" si="6"/>
        <v>124.4</v>
      </c>
      <c r="Y113" s="3">
        <v>124.3</v>
      </c>
      <c r="Z113">
        <v>127.5</v>
      </c>
      <c r="AA113">
        <v>127.1</v>
      </c>
      <c r="AB113">
        <v>113.9</v>
      </c>
      <c r="AC113">
        <v>122.3</v>
      </c>
      <c r="AD113">
        <v>116.8</v>
      </c>
      <c r="AE113" s="3">
        <f t="shared" si="7"/>
        <v>121.52000000000001</v>
      </c>
      <c r="AF113" s="3">
        <v>127.1</v>
      </c>
      <c r="AG113" s="3">
        <v>120.9</v>
      </c>
      <c r="AH113">
        <v>127.9</v>
      </c>
    </row>
    <row r="114" spans="1:34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 s="3">
        <f t="shared" si="4"/>
        <v>128.93076923076922</v>
      </c>
      <c r="R114" s="3">
        <v>140</v>
      </c>
      <c r="S114">
        <v>126.2</v>
      </c>
      <c r="T114">
        <v>120.1</v>
      </c>
      <c r="U114">
        <v>125.3</v>
      </c>
      <c r="V114" s="3">
        <f t="shared" si="5"/>
        <v>123.86666666666667</v>
      </c>
      <c r="W114">
        <v>124.4</v>
      </c>
      <c r="X114" s="3">
        <f t="shared" si="6"/>
        <v>124.4</v>
      </c>
      <c r="Y114" s="3">
        <v>119.5</v>
      </c>
      <c r="Z114">
        <v>116</v>
      </c>
      <c r="AA114">
        <v>121.8</v>
      </c>
      <c r="AB114">
        <v>109.1</v>
      </c>
      <c r="AC114">
        <v>118.8</v>
      </c>
      <c r="AD114">
        <v>116.2</v>
      </c>
      <c r="AE114" s="3">
        <f t="shared" si="7"/>
        <v>116.38</v>
      </c>
      <c r="AF114" s="3">
        <v>126.3</v>
      </c>
      <c r="AG114" s="3">
        <v>117.2</v>
      </c>
      <c r="AH114">
        <v>123.8</v>
      </c>
    </row>
    <row r="115" spans="1:34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 s="3">
        <f t="shared" si="4"/>
        <v>129.08461538461538</v>
      </c>
      <c r="R115" s="3">
        <v>135.9</v>
      </c>
      <c r="S115">
        <v>130.9</v>
      </c>
      <c r="T115">
        <v>125.8</v>
      </c>
      <c r="U115">
        <v>130.19999999999999</v>
      </c>
      <c r="V115" s="3">
        <f t="shared" si="5"/>
        <v>128.96666666666667</v>
      </c>
      <c r="W115">
        <v>124.4</v>
      </c>
      <c r="X115" s="3">
        <f t="shared" si="6"/>
        <v>124.4</v>
      </c>
      <c r="Y115" s="3">
        <v>122.5</v>
      </c>
      <c r="Z115">
        <v>123.1</v>
      </c>
      <c r="AA115">
        <v>124.6</v>
      </c>
      <c r="AB115">
        <v>111.4</v>
      </c>
      <c r="AC115">
        <v>120.3</v>
      </c>
      <c r="AD115">
        <v>116.6</v>
      </c>
      <c r="AE115" s="3">
        <f t="shared" si="7"/>
        <v>119.2</v>
      </c>
      <c r="AF115" s="3">
        <v>126.6</v>
      </c>
      <c r="AG115" s="3">
        <v>119.1</v>
      </c>
      <c r="AH115">
        <v>126</v>
      </c>
    </row>
    <row r="116" spans="1:34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 s="3">
        <f t="shared" si="4"/>
        <v>129.43846153846155</v>
      </c>
      <c r="R116" s="3">
        <v>135</v>
      </c>
      <c r="S116">
        <v>134.4</v>
      </c>
      <c r="T116">
        <v>130.19999999999999</v>
      </c>
      <c r="U116">
        <v>133.80000000000001</v>
      </c>
      <c r="V116" s="3">
        <f t="shared" si="5"/>
        <v>132.80000000000001</v>
      </c>
      <c r="W116" t="s">
        <v>32</v>
      </c>
      <c r="X116" s="3">
        <f t="shared" si="6"/>
        <v>124.9</v>
      </c>
      <c r="Y116" s="3">
        <v>124.8</v>
      </c>
      <c r="Z116">
        <v>127</v>
      </c>
      <c r="AA116">
        <v>127.7</v>
      </c>
      <c r="AB116">
        <v>113.6</v>
      </c>
      <c r="AC116">
        <v>122.5</v>
      </c>
      <c r="AD116">
        <v>117.4</v>
      </c>
      <c r="AE116" s="3">
        <f t="shared" si="7"/>
        <v>121.63999999999999</v>
      </c>
      <c r="AF116" s="3">
        <v>127.5</v>
      </c>
      <c r="AG116" s="3">
        <v>121.1</v>
      </c>
      <c r="AH116">
        <v>128</v>
      </c>
    </row>
    <row r="117" spans="1:34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 s="3">
        <f t="shared" si="4"/>
        <v>128.27692307692308</v>
      </c>
      <c r="R117" s="3">
        <v>140.6</v>
      </c>
      <c r="S117">
        <v>126.4</v>
      </c>
      <c r="T117">
        <v>120.3</v>
      </c>
      <c r="U117">
        <v>125.5</v>
      </c>
      <c r="V117" s="3">
        <f t="shared" si="5"/>
        <v>124.06666666666666</v>
      </c>
      <c r="W117">
        <v>124.9</v>
      </c>
      <c r="X117" s="3">
        <f t="shared" si="6"/>
        <v>124.9</v>
      </c>
      <c r="Y117" s="3">
        <v>119.7</v>
      </c>
      <c r="Z117">
        <v>114.8</v>
      </c>
      <c r="AA117">
        <v>122.3</v>
      </c>
      <c r="AB117">
        <v>108.5</v>
      </c>
      <c r="AC117">
        <v>119.1</v>
      </c>
      <c r="AD117">
        <v>117.1</v>
      </c>
      <c r="AE117" s="3">
        <f t="shared" si="7"/>
        <v>116.36000000000001</v>
      </c>
      <c r="AF117" s="3">
        <v>126.4</v>
      </c>
      <c r="AG117" s="3">
        <v>117.3</v>
      </c>
      <c r="AH117">
        <v>123.8</v>
      </c>
    </row>
    <row r="118" spans="1:34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 s="3">
        <f t="shared" si="4"/>
        <v>128.86153846153846</v>
      </c>
      <c r="R118" s="3">
        <v>136.5</v>
      </c>
      <c r="S118">
        <v>131.30000000000001</v>
      </c>
      <c r="T118">
        <v>126.1</v>
      </c>
      <c r="U118">
        <v>130.5</v>
      </c>
      <c r="V118" s="3">
        <f t="shared" si="5"/>
        <v>129.29999999999998</v>
      </c>
      <c r="W118">
        <v>124.9</v>
      </c>
      <c r="X118" s="3">
        <f t="shared" si="6"/>
        <v>124.9</v>
      </c>
      <c r="Y118" s="3">
        <v>122.9</v>
      </c>
      <c r="Z118">
        <v>122.4</v>
      </c>
      <c r="AA118">
        <v>125.1</v>
      </c>
      <c r="AB118">
        <v>110.9</v>
      </c>
      <c r="AC118">
        <v>120.6</v>
      </c>
      <c r="AD118">
        <v>117.3</v>
      </c>
      <c r="AE118" s="3">
        <f t="shared" si="7"/>
        <v>119.25999999999999</v>
      </c>
      <c r="AF118" s="3">
        <v>126.9</v>
      </c>
      <c r="AG118" s="3">
        <v>119.3</v>
      </c>
      <c r="AH118">
        <v>126</v>
      </c>
    </row>
    <row r="119" spans="1:34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 s="3">
        <f t="shared" si="4"/>
        <v>130.89230769230772</v>
      </c>
      <c r="R119" s="3">
        <v>135.5</v>
      </c>
      <c r="S119">
        <v>135</v>
      </c>
      <c r="T119">
        <v>130.6</v>
      </c>
      <c r="U119">
        <v>134.4</v>
      </c>
      <c r="V119" s="3">
        <f t="shared" si="5"/>
        <v>133.33333333333334</v>
      </c>
      <c r="W119" t="s">
        <v>32</v>
      </c>
      <c r="X119" s="3">
        <f t="shared" si="6"/>
        <v>125.6</v>
      </c>
      <c r="Y119" s="3">
        <v>125.2</v>
      </c>
      <c r="Z119">
        <v>127</v>
      </c>
      <c r="AA119">
        <v>128</v>
      </c>
      <c r="AB119">
        <v>114.4</v>
      </c>
      <c r="AC119">
        <v>123.2</v>
      </c>
      <c r="AD119">
        <v>118.4</v>
      </c>
      <c r="AE119" s="3">
        <f t="shared" si="7"/>
        <v>122.2</v>
      </c>
      <c r="AF119" s="3">
        <v>127.9</v>
      </c>
      <c r="AG119" s="3">
        <v>121.7</v>
      </c>
      <c r="AH119">
        <v>129</v>
      </c>
    </row>
    <row r="120" spans="1:34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 s="3">
        <f t="shared" si="4"/>
        <v>131.25384615384615</v>
      </c>
      <c r="R120" s="3">
        <v>141.5</v>
      </c>
      <c r="S120">
        <v>126.8</v>
      </c>
      <c r="T120">
        <v>120.5</v>
      </c>
      <c r="U120">
        <v>125.8</v>
      </c>
      <c r="V120" s="3">
        <f t="shared" si="5"/>
        <v>124.36666666666667</v>
      </c>
      <c r="W120">
        <v>125.6</v>
      </c>
      <c r="X120" s="3">
        <f t="shared" si="6"/>
        <v>125.6</v>
      </c>
      <c r="Y120" s="3">
        <v>120</v>
      </c>
      <c r="Z120">
        <v>114.6</v>
      </c>
      <c r="AA120">
        <v>122.8</v>
      </c>
      <c r="AB120">
        <v>110</v>
      </c>
      <c r="AC120">
        <v>119.5</v>
      </c>
      <c r="AD120">
        <v>117.6</v>
      </c>
      <c r="AE120" s="3">
        <f t="shared" si="7"/>
        <v>116.9</v>
      </c>
      <c r="AF120" s="3">
        <v>127.6</v>
      </c>
      <c r="AG120" s="3">
        <v>118.2</v>
      </c>
      <c r="AH120">
        <v>125.3</v>
      </c>
    </row>
    <row r="121" spans="1:34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 s="3">
        <f t="shared" si="4"/>
        <v>130.86923076923077</v>
      </c>
      <c r="R121" s="3">
        <v>137.1</v>
      </c>
      <c r="S121">
        <v>131.80000000000001</v>
      </c>
      <c r="T121">
        <v>126.4</v>
      </c>
      <c r="U121">
        <v>131</v>
      </c>
      <c r="V121" s="3">
        <f t="shared" si="5"/>
        <v>129.73333333333335</v>
      </c>
      <c r="W121">
        <v>125.6</v>
      </c>
      <c r="X121" s="3">
        <f t="shared" si="6"/>
        <v>125.6</v>
      </c>
      <c r="Y121" s="3">
        <v>123.2</v>
      </c>
      <c r="Z121">
        <v>122.3</v>
      </c>
      <c r="AA121">
        <v>125.5</v>
      </c>
      <c r="AB121">
        <v>112.1</v>
      </c>
      <c r="AC121">
        <v>121.1</v>
      </c>
      <c r="AD121">
        <v>118.1</v>
      </c>
      <c r="AE121" s="3">
        <f t="shared" si="7"/>
        <v>119.82000000000001</v>
      </c>
      <c r="AF121" s="3">
        <v>127.7</v>
      </c>
      <c r="AG121" s="3">
        <v>120</v>
      </c>
      <c r="AH121">
        <v>127.3</v>
      </c>
    </row>
    <row r="122" spans="1:34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 s="3">
        <f t="shared" si="4"/>
        <v>132.59230769230768</v>
      </c>
      <c r="R122" s="3">
        <v>136</v>
      </c>
      <c r="S122">
        <v>135.4</v>
      </c>
      <c r="T122">
        <v>131.1</v>
      </c>
      <c r="U122">
        <v>134.80000000000001</v>
      </c>
      <c r="V122" s="3">
        <f t="shared" si="5"/>
        <v>133.76666666666668</v>
      </c>
      <c r="W122" t="s">
        <v>32</v>
      </c>
      <c r="X122" s="3">
        <f t="shared" si="6"/>
        <v>126</v>
      </c>
      <c r="Y122" s="3">
        <v>125.8</v>
      </c>
      <c r="Z122">
        <v>127.4</v>
      </c>
      <c r="AA122">
        <v>128.5</v>
      </c>
      <c r="AB122">
        <v>115.1</v>
      </c>
      <c r="AC122">
        <v>123.6</v>
      </c>
      <c r="AD122">
        <v>119.7</v>
      </c>
      <c r="AE122" s="3">
        <f t="shared" si="7"/>
        <v>122.86000000000001</v>
      </c>
      <c r="AF122" s="3">
        <v>129.1</v>
      </c>
      <c r="AG122" s="3">
        <v>122.5</v>
      </c>
      <c r="AH122">
        <v>130.30000000000001</v>
      </c>
    </row>
    <row r="123" spans="1:34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 s="3">
        <f t="shared" si="4"/>
        <v>134.36923076923074</v>
      </c>
      <c r="R123" s="3">
        <v>142.19999999999999</v>
      </c>
      <c r="S123">
        <v>127.2</v>
      </c>
      <c r="T123">
        <v>120.7</v>
      </c>
      <c r="U123">
        <v>126.2</v>
      </c>
      <c r="V123" s="3">
        <f t="shared" si="5"/>
        <v>124.7</v>
      </c>
      <c r="W123">
        <v>126</v>
      </c>
      <c r="X123" s="3">
        <f t="shared" si="6"/>
        <v>126</v>
      </c>
      <c r="Y123" s="3">
        <v>120.3</v>
      </c>
      <c r="Z123">
        <v>115</v>
      </c>
      <c r="AA123">
        <v>123.2</v>
      </c>
      <c r="AB123">
        <v>110.7</v>
      </c>
      <c r="AC123">
        <v>119.8</v>
      </c>
      <c r="AD123">
        <v>118.5</v>
      </c>
      <c r="AE123" s="3">
        <f t="shared" si="7"/>
        <v>117.44000000000001</v>
      </c>
      <c r="AF123" s="3">
        <v>128</v>
      </c>
      <c r="AG123" s="3">
        <v>118.7</v>
      </c>
      <c r="AH123">
        <v>126.6</v>
      </c>
    </row>
    <row r="124" spans="1:34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 s="3">
        <f t="shared" si="4"/>
        <v>133.1076923076923</v>
      </c>
      <c r="R124" s="3">
        <v>137.69999999999999</v>
      </c>
      <c r="S124">
        <v>132.19999999999999</v>
      </c>
      <c r="T124">
        <v>126.8</v>
      </c>
      <c r="U124">
        <v>131.4</v>
      </c>
      <c r="V124" s="3">
        <f t="shared" si="5"/>
        <v>130.13333333333333</v>
      </c>
      <c r="W124">
        <v>126</v>
      </c>
      <c r="X124" s="3">
        <f t="shared" si="6"/>
        <v>126</v>
      </c>
      <c r="Y124" s="3">
        <v>123.7</v>
      </c>
      <c r="Z124">
        <v>122.7</v>
      </c>
      <c r="AA124">
        <v>126</v>
      </c>
      <c r="AB124">
        <v>112.8</v>
      </c>
      <c r="AC124">
        <v>121.5</v>
      </c>
      <c r="AD124">
        <v>119.2</v>
      </c>
      <c r="AE124" s="3">
        <f t="shared" si="7"/>
        <v>120.44000000000001</v>
      </c>
      <c r="AF124" s="3">
        <v>128.5</v>
      </c>
      <c r="AG124" s="3">
        <v>120.7</v>
      </c>
      <c r="AH124">
        <v>128.6</v>
      </c>
    </row>
    <row r="125" spans="1:34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 s="3">
        <f t="shared" si="4"/>
        <v>134.50769230769231</v>
      </c>
      <c r="R125" s="3">
        <v>137.19999999999999</v>
      </c>
      <c r="S125">
        <v>136.30000000000001</v>
      </c>
      <c r="T125">
        <v>131.6</v>
      </c>
      <c r="U125">
        <v>135.6</v>
      </c>
      <c r="V125" s="3">
        <f t="shared" si="5"/>
        <v>134.5</v>
      </c>
      <c r="W125" t="s">
        <v>32</v>
      </c>
      <c r="X125" s="3">
        <f t="shared" si="6"/>
        <v>125.5</v>
      </c>
      <c r="Y125" s="3">
        <v>126.2</v>
      </c>
      <c r="Z125">
        <v>128</v>
      </c>
      <c r="AA125">
        <v>129.30000000000001</v>
      </c>
      <c r="AB125">
        <v>116.3</v>
      </c>
      <c r="AC125">
        <v>124.1</v>
      </c>
      <c r="AD125">
        <v>119.9</v>
      </c>
      <c r="AE125" s="3">
        <f t="shared" si="7"/>
        <v>123.52000000000001</v>
      </c>
      <c r="AF125" s="3">
        <v>130.19999999999999</v>
      </c>
      <c r="AG125" s="3">
        <v>123.3</v>
      </c>
      <c r="AH125">
        <v>131.9</v>
      </c>
    </row>
    <row r="126" spans="1:34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 s="3">
        <f t="shared" si="4"/>
        <v>137.46153846153848</v>
      </c>
      <c r="R126" s="3">
        <v>142.69999999999999</v>
      </c>
      <c r="S126">
        <v>127.6</v>
      </c>
      <c r="T126">
        <v>121.1</v>
      </c>
      <c r="U126">
        <v>126.6</v>
      </c>
      <c r="V126" s="3">
        <f t="shared" si="5"/>
        <v>125.09999999999998</v>
      </c>
      <c r="W126">
        <v>125.5</v>
      </c>
      <c r="X126" s="3">
        <f t="shared" si="6"/>
        <v>125.5</v>
      </c>
      <c r="Y126" s="3">
        <v>120.6</v>
      </c>
      <c r="Z126">
        <v>115.5</v>
      </c>
      <c r="AA126">
        <v>123.2</v>
      </c>
      <c r="AB126">
        <v>112.3</v>
      </c>
      <c r="AC126">
        <v>119.9</v>
      </c>
      <c r="AD126">
        <v>118.8</v>
      </c>
      <c r="AE126" s="3">
        <f t="shared" si="7"/>
        <v>117.93999999999998</v>
      </c>
      <c r="AF126" s="3">
        <v>129.30000000000001</v>
      </c>
      <c r="AG126" s="3">
        <v>119.6</v>
      </c>
      <c r="AH126">
        <v>128.1</v>
      </c>
    </row>
    <row r="127" spans="1:34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 s="3">
        <f t="shared" si="4"/>
        <v>135.43076923076922</v>
      </c>
      <c r="R127" s="3">
        <v>138.69999999999999</v>
      </c>
      <c r="S127">
        <v>132.9</v>
      </c>
      <c r="T127">
        <v>127.2</v>
      </c>
      <c r="U127">
        <v>132</v>
      </c>
      <c r="V127" s="3">
        <f t="shared" si="5"/>
        <v>130.70000000000002</v>
      </c>
      <c r="W127">
        <v>125.5</v>
      </c>
      <c r="X127" s="3">
        <f t="shared" si="6"/>
        <v>125.5</v>
      </c>
      <c r="Y127" s="3">
        <v>124.1</v>
      </c>
      <c r="Z127">
        <v>123.3</v>
      </c>
      <c r="AA127">
        <v>126.4</v>
      </c>
      <c r="AB127">
        <v>114.2</v>
      </c>
      <c r="AC127">
        <v>121.7</v>
      </c>
      <c r="AD127">
        <v>119.4</v>
      </c>
      <c r="AE127" s="3">
        <f t="shared" si="7"/>
        <v>121</v>
      </c>
      <c r="AF127" s="3">
        <v>129.69999999999999</v>
      </c>
      <c r="AG127" s="3">
        <v>121.5</v>
      </c>
      <c r="AH127">
        <v>130.1</v>
      </c>
    </row>
    <row r="128" spans="1:34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 s="3">
        <f t="shared" si="4"/>
        <v>136.17692307692306</v>
      </c>
      <c r="R128" s="3">
        <v>138</v>
      </c>
      <c r="S128">
        <v>137.19999999999999</v>
      </c>
      <c r="T128">
        <v>132.19999999999999</v>
      </c>
      <c r="U128">
        <v>136.5</v>
      </c>
      <c r="V128" s="3">
        <f t="shared" si="5"/>
        <v>135.29999999999998</v>
      </c>
      <c r="W128" t="s">
        <v>32</v>
      </c>
      <c r="X128" s="3">
        <f t="shared" si="6"/>
        <v>126.4</v>
      </c>
      <c r="Y128" s="3">
        <v>126.7</v>
      </c>
      <c r="Z128">
        <v>128.19999999999999</v>
      </c>
      <c r="AA128">
        <v>130</v>
      </c>
      <c r="AB128">
        <v>116.4</v>
      </c>
      <c r="AC128">
        <v>125.2</v>
      </c>
      <c r="AD128">
        <v>120.9</v>
      </c>
      <c r="AE128" s="3">
        <f t="shared" si="7"/>
        <v>124.14000000000001</v>
      </c>
      <c r="AF128" s="3">
        <v>130.80000000000001</v>
      </c>
      <c r="AG128" s="3">
        <v>123.8</v>
      </c>
      <c r="AH128">
        <v>133</v>
      </c>
    </row>
    <row r="129" spans="1:34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 s="3">
        <f t="shared" si="4"/>
        <v>139.34615384615387</v>
      </c>
      <c r="R129" s="3">
        <v>142.9</v>
      </c>
      <c r="S129">
        <v>127.9</v>
      </c>
      <c r="T129">
        <v>121.1</v>
      </c>
      <c r="U129">
        <v>126.9</v>
      </c>
      <c r="V129" s="3">
        <f t="shared" si="5"/>
        <v>125.3</v>
      </c>
      <c r="W129">
        <v>126.4</v>
      </c>
      <c r="X129" s="3">
        <f t="shared" si="6"/>
        <v>126.4</v>
      </c>
      <c r="Y129" s="3">
        <v>120.9</v>
      </c>
      <c r="Z129">
        <v>115.5</v>
      </c>
      <c r="AA129">
        <v>123.5</v>
      </c>
      <c r="AB129">
        <v>111.7</v>
      </c>
      <c r="AC129">
        <v>120.3</v>
      </c>
      <c r="AD129">
        <v>120</v>
      </c>
      <c r="AE129" s="3">
        <f t="shared" si="7"/>
        <v>118.2</v>
      </c>
      <c r="AF129" s="3">
        <v>130.80000000000001</v>
      </c>
      <c r="AG129" s="3">
        <v>119.9</v>
      </c>
      <c r="AH129">
        <v>129</v>
      </c>
    </row>
    <row r="130" spans="1:34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 s="3">
        <f t="shared" si="4"/>
        <v>137.19230769230768</v>
      </c>
      <c r="R130" s="3">
        <v>139.30000000000001</v>
      </c>
      <c r="S130">
        <v>133.5</v>
      </c>
      <c r="T130">
        <v>127.6</v>
      </c>
      <c r="U130">
        <v>132.69999999999999</v>
      </c>
      <c r="V130" s="3">
        <f t="shared" si="5"/>
        <v>131.26666666666668</v>
      </c>
      <c r="W130">
        <v>126.4</v>
      </c>
      <c r="X130" s="3">
        <f t="shared" si="6"/>
        <v>126.4</v>
      </c>
      <c r="Y130" s="3">
        <v>124.5</v>
      </c>
      <c r="Z130">
        <v>123.4</v>
      </c>
      <c r="AA130">
        <v>126.9</v>
      </c>
      <c r="AB130">
        <v>113.9</v>
      </c>
      <c r="AC130">
        <v>122.4</v>
      </c>
      <c r="AD130">
        <v>120.5</v>
      </c>
      <c r="AE130" s="3">
        <f t="shared" si="7"/>
        <v>121.42</v>
      </c>
      <c r="AF130" s="3">
        <v>130.80000000000001</v>
      </c>
      <c r="AG130" s="3">
        <v>121.9</v>
      </c>
      <c r="AH130">
        <v>131.1</v>
      </c>
    </row>
    <row r="131" spans="1:34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 s="3">
        <f t="shared" ref="Q131:Q194" si="8">AVERAGE(D131:P131)</f>
        <v>136.73076923076923</v>
      </c>
      <c r="R131" s="3">
        <v>138.9</v>
      </c>
      <c r="S131">
        <v>137.80000000000001</v>
      </c>
      <c r="T131">
        <v>133</v>
      </c>
      <c r="U131">
        <v>137.1</v>
      </c>
      <c r="V131" s="3">
        <f t="shared" ref="V131:V194" si="9">AVERAGE(S131:U131)</f>
        <v>135.96666666666667</v>
      </c>
      <c r="W131" t="s">
        <v>32</v>
      </c>
      <c r="X131" s="3">
        <f t="shared" ref="X131:X194" si="10">IF(W131="NA",W132,W131)</f>
        <v>127.3</v>
      </c>
      <c r="Y131" s="3">
        <v>127</v>
      </c>
      <c r="Z131">
        <v>129.1</v>
      </c>
      <c r="AA131">
        <v>130.6</v>
      </c>
      <c r="AB131">
        <v>116</v>
      </c>
      <c r="AC131">
        <v>125.5</v>
      </c>
      <c r="AD131">
        <v>122</v>
      </c>
      <c r="AE131" s="3">
        <f t="shared" ref="AE131:AE194" si="11">AVERAGE(Z131:AD131)</f>
        <v>124.64000000000001</v>
      </c>
      <c r="AF131" s="3">
        <v>131.9</v>
      </c>
      <c r="AG131" s="3">
        <v>124.2</v>
      </c>
      <c r="AH131">
        <v>133.5</v>
      </c>
    </row>
    <row r="132" spans="1:34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 s="3">
        <f t="shared" si="8"/>
        <v>137.2307692307692</v>
      </c>
      <c r="R132" s="3">
        <v>143.6</v>
      </c>
      <c r="S132">
        <v>128.30000000000001</v>
      </c>
      <c r="T132">
        <v>121.4</v>
      </c>
      <c r="U132">
        <v>127.3</v>
      </c>
      <c r="V132" s="3">
        <f t="shared" si="9"/>
        <v>125.66666666666667</v>
      </c>
      <c r="W132">
        <v>127.3</v>
      </c>
      <c r="X132" s="3">
        <f t="shared" si="10"/>
        <v>127.3</v>
      </c>
      <c r="Y132" s="3">
        <v>121.2</v>
      </c>
      <c r="Z132">
        <v>114.7</v>
      </c>
      <c r="AA132">
        <v>123.9</v>
      </c>
      <c r="AB132">
        <v>110.4</v>
      </c>
      <c r="AC132">
        <v>120.6</v>
      </c>
      <c r="AD132">
        <v>120.9</v>
      </c>
      <c r="AE132" s="3">
        <f t="shared" si="11"/>
        <v>118.1</v>
      </c>
      <c r="AF132" s="3">
        <v>131.5</v>
      </c>
      <c r="AG132" s="3">
        <v>119.9</v>
      </c>
      <c r="AH132">
        <v>128.4</v>
      </c>
    </row>
    <row r="133" spans="1:34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 s="3">
        <f t="shared" si="8"/>
        <v>136.76153846153846</v>
      </c>
      <c r="R133" s="3">
        <v>140.19999999999999</v>
      </c>
      <c r="S133">
        <v>134.1</v>
      </c>
      <c r="T133">
        <v>128.19999999999999</v>
      </c>
      <c r="U133">
        <v>133.19999999999999</v>
      </c>
      <c r="V133" s="3">
        <f t="shared" si="9"/>
        <v>131.83333333333331</v>
      </c>
      <c r="W133">
        <v>127.3</v>
      </c>
      <c r="X133" s="3">
        <f t="shared" si="10"/>
        <v>127.3</v>
      </c>
      <c r="Y133" s="3">
        <v>124.8</v>
      </c>
      <c r="Z133">
        <v>123.6</v>
      </c>
      <c r="AA133">
        <v>127.4</v>
      </c>
      <c r="AB133">
        <v>113.1</v>
      </c>
      <c r="AC133">
        <v>122.7</v>
      </c>
      <c r="AD133">
        <v>121.5</v>
      </c>
      <c r="AE133" s="3">
        <f t="shared" si="11"/>
        <v>121.66</v>
      </c>
      <c r="AF133" s="3">
        <v>131.69999999999999</v>
      </c>
      <c r="AG133" s="3">
        <v>122.1</v>
      </c>
      <c r="AH133">
        <v>131.1</v>
      </c>
    </row>
    <row r="134" spans="1:34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 s="3">
        <f t="shared" si="8"/>
        <v>136.2076923076923</v>
      </c>
      <c r="R134" s="3">
        <v>139.9</v>
      </c>
      <c r="S134">
        <v>138.5</v>
      </c>
      <c r="T134">
        <v>133.5</v>
      </c>
      <c r="U134">
        <v>137.80000000000001</v>
      </c>
      <c r="V134" s="3">
        <f t="shared" si="9"/>
        <v>136.6</v>
      </c>
      <c r="W134" t="s">
        <v>32</v>
      </c>
      <c r="X134" s="3">
        <f t="shared" si="10"/>
        <v>127.9</v>
      </c>
      <c r="Y134" s="3">
        <v>127.8</v>
      </c>
      <c r="Z134">
        <v>129.69999999999999</v>
      </c>
      <c r="AA134">
        <v>131.1</v>
      </c>
      <c r="AB134">
        <v>117</v>
      </c>
      <c r="AC134">
        <v>125.7</v>
      </c>
      <c r="AD134">
        <v>122.8</v>
      </c>
      <c r="AE134" s="3">
        <f t="shared" si="11"/>
        <v>125.25999999999999</v>
      </c>
      <c r="AF134" s="3">
        <v>132.19999999999999</v>
      </c>
      <c r="AG134" s="3">
        <v>124.9</v>
      </c>
      <c r="AH134">
        <v>133.4</v>
      </c>
    </row>
    <row r="135" spans="1:34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 s="3">
        <f t="shared" si="8"/>
        <v>135.10769230769228</v>
      </c>
      <c r="R135" s="3">
        <v>143.9</v>
      </c>
      <c r="S135">
        <v>128.69999999999999</v>
      </c>
      <c r="T135">
        <v>121.6</v>
      </c>
      <c r="U135">
        <v>127.7</v>
      </c>
      <c r="V135" s="3">
        <f t="shared" si="9"/>
        <v>126</v>
      </c>
      <c r="W135">
        <v>127.9</v>
      </c>
      <c r="X135" s="3">
        <f t="shared" si="10"/>
        <v>127.9</v>
      </c>
      <c r="Y135" s="3">
        <v>121.4</v>
      </c>
      <c r="Z135">
        <v>114.8</v>
      </c>
      <c r="AA135">
        <v>124.3</v>
      </c>
      <c r="AB135">
        <v>111.8</v>
      </c>
      <c r="AC135">
        <v>120.8</v>
      </c>
      <c r="AD135">
        <v>121.2</v>
      </c>
      <c r="AE135" s="3">
        <f t="shared" si="11"/>
        <v>118.58</v>
      </c>
      <c r="AF135" s="3">
        <v>131.6</v>
      </c>
      <c r="AG135" s="3">
        <v>120.5</v>
      </c>
      <c r="AH135">
        <v>128</v>
      </c>
    </row>
    <row r="136" spans="1:34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 s="3">
        <f t="shared" si="8"/>
        <v>135.66923076923075</v>
      </c>
      <c r="R136" s="3">
        <v>141</v>
      </c>
      <c r="S136">
        <v>134.6</v>
      </c>
      <c r="T136">
        <v>128.6</v>
      </c>
      <c r="U136">
        <v>133.80000000000001</v>
      </c>
      <c r="V136" s="3">
        <f t="shared" si="9"/>
        <v>132.33333333333334</v>
      </c>
      <c r="W136">
        <v>127.9</v>
      </c>
      <c r="X136" s="3">
        <f t="shared" si="10"/>
        <v>127.9</v>
      </c>
      <c r="Y136" s="3">
        <v>125.4</v>
      </c>
      <c r="Z136">
        <v>124.1</v>
      </c>
      <c r="AA136">
        <v>127.9</v>
      </c>
      <c r="AB136">
        <v>114.3</v>
      </c>
      <c r="AC136">
        <v>122.9</v>
      </c>
      <c r="AD136">
        <v>122.1</v>
      </c>
      <c r="AE136" s="3">
        <f t="shared" si="11"/>
        <v>122.26000000000002</v>
      </c>
      <c r="AF136" s="3">
        <v>131.80000000000001</v>
      </c>
      <c r="AG136" s="3">
        <v>122.8</v>
      </c>
      <c r="AH136">
        <v>130.9</v>
      </c>
    </row>
    <row r="137" spans="1:34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 s="3">
        <f t="shared" si="8"/>
        <v>136.2923076923077</v>
      </c>
      <c r="R137" s="3">
        <v>140.9</v>
      </c>
      <c r="S137">
        <v>139.6</v>
      </c>
      <c r="T137">
        <v>134.30000000000001</v>
      </c>
      <c r="U137">
        <v>138.80000000000001</v>
      </c>
      <c r="V137" s="3">
        <f t="shared" si="9"/>
        <v>137.56666666666666</v>
      </c>
      <c r="W137" t="s">
        <v>32</v>
      </c>
      <c r="X137" s="3">
        <f t="shared" si="10"/>
        <v>128.69999999999999</v>
      </c>
      <c r="Y137" s="3">
        <v>128.69999999999999</v>
      </c>
      <c r="Z137">
        <v>129.80000000000001</v>
      </c>
      <c r="AA137">
        <v>131.80000000000001</v>
      </c>
      <c r="AB137">
        <v>117.8</v>
      </c>
      <c r="AC137">
        <v>126.5</v>
      </c>
      <c r="AD137">
        <v>123</v>
      </c>
      <c r="AE137" s="3">
        <f t="shared" si="11"/>
        <v>125.78000000000002</v>
      </c>
      <c r="AF137" s="3">
        <v>133</v>
      </c>
      <c r="AG137" s="3">
        <v>125.7</v>
      </c>
      <c r="AH137">
        <v>133.80000000000001</v>
      </c>
    </row>
    <row r="138" spans="1:34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 s="3">
        <f t="shared" si="8"/>
        <v>135.6076923076923</v>
      </c>
      <c r="R138" s="3">
        <v>144.30000000000001</v>
      </c>
      <c r="S138">
        <v>129.1</v>
      </c>
      <c r="T138">
        <v>121.9</v>
      </c>
      <c r="U138">
        <v>128</v>
      </c>
      <c r="V138" s="3">
        <f t="shared" si="9"/>
        <v>126.33333333333333</v>
      </c>
      <c r="W138">
        <v>128.69999999999999</v>
      </c>
      <c r="X138" s="3">
        <f t="shared" si="10"/>
        <v>128.69999999999999</v>
      </c>
      <c r="Y138" s="3">
        <v>121.8</v>
      </c>
      <c r="Z138">
        <v>115.2</v>
      </c>
      <c r="AA138">
        <v>124.5</v>
      </c>
      <c r="AB138">
        <v>112.8</v>
      </c>
      <c r="AC138">
        <v>121.2</v>
      </c>
      <c r="AD138">
        <v>120.8</v>
      </c>
      <c r="AE138" s="3">
        <f t="shared" si="11"/>
        <v>118.9</v>
      </c>
      <c r="AF138" s="3">
        <v>131.9</v>
      </c>
      <c r="AG138" s="3">
        <v>120.9</v>
      </c>
      <c r="AH138">
        <v>128.6</v>
      </c>
    </row>
    <row r="139" spans="1:34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 s="3">
        <f t="shared" si="8"/>
        <v>135.90769230769226</v>
      </c>
      <c r="R139" s="3">
        <v>141.80000000000001</v>
      </c>
      <c r="S139">
        <v>135.5</v>
      </c>
      <c r="T139">
        <v>129.1</v>
      </c>
      <c r="U139">
        <v>134.5</v>
      </c>
      <c r="V139" s="3">
        <f t="shared" si="9"/>
        <v>133.03333333333333</v>
      </c>
      <c r="W139">
        <v>128.69999999999999</v>
      </c>
      <c r="X139" s="3">
        <f t="shared" si="10"/>
        <v>128.69999999999999</v>
      </c>
      <c r="Y139" s="3">
        <v>126.1</v>
      </c>
      <c r="Z139">
        <v>124.3</v>
      </c>
      <c r="AA139">
        <v>128.4</v>
      </c>
      <c r="AB139">
        <v>115.2</v>
      </c>
      <c r="AC139">
        <v>123.5</v>
      </c>
      <c r="AD139">
        <v>122.1</v>
      </c>
      <c r="AE139" s="3">
        <f t="shared" si="11"/>
        <v>122.7</v>
      </c>
      <c r="AF139" s="3">
        <v>132.4</v>
      </c>
      <c r="AG139" s="3">
        <v>123.4</v>
      </c>
      <c r="AH139">
        <v>131.4</v>
      </c>
    </row>
    <row r="140" spans="1:34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 s="3">
        <f t="shared" si="8"/>
        <v>135.73846153846154</v>
      </c>
      <c r="R140" s="3">
        <v>141.19999999999999</v>
      </c>
      <c r="S140">
        <v>139.9</v>
      </c>
      <c r="T140">
        <v>134.5</v>
      </c>
      <c r="U140">
        <v>139.19999999999999</v>
      </c>
      <c r="V140" s="3">
        <f t="shared" si="9"/>
        <v>137.86666666666665</v>
      </c>
      <c r="W140" t="s">
        <v>32</v>
      </c>
      <c r="X140" s="3">
        <f t="shared" si="10"/>
        <v>129.1</v>
      </c>
      <c r="Y140" s="3">
        <v>129.1</v>
      </c>
      <c r="Z140">
        <v>130.30000000000001</v>
      </c>
      <c r="AA140">
        <v>132.1</v>
      </c>
      <c r="AB140">
        <v>118.2</v>
      </c>
      <c r="AC140">
        <v>126.9</v>
      </c>
      <c r="AD140">
        <v>123.5</v>
      </c>
      <c r="AE140" s="3">
        <f t="shared" si="11"/>
        <v>126.2</v>
      </c>
      <c r="AF140" s="3">
        <v>133.69999999999999</v>
      </c>
      <c r="AG140" s="3">
        <v>126.1</v>
      </c>
      <c r="AH140">
        <v>133.6</v>
      </c>
    </row>
    <row r="141" spans="1:34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 s="3">
        <f t="shared" si="8"/>
        <v>135.01538461538462</v>
      </c>
      <c r="R141" s="3">
        <v>144.30000000000001</v>
      </c>
      <c r="S141">
        <v>129.6</v>
      </c>
      <c r="T141">
        <v>122.1</v>
      </c>
      <c r="U141">
        <v>128.5</v>
      </c>
      <c r="V141" s="3">
        <f t="shared" si="9"/>
        <v>126.73333333333333</v>
      </c>
      <c r="W141">
        <v>129.1</v>
      </c>
      <c r="X141" s="3">
        <f t="shared" si="10"/>
        <v>129.1</v>
      </c>
      <c r="Y141" s="3">
        <v>122.1</v>
      </c>
      <c r="Z141">
        <v>116.2</v>
      </c>
      <c r="AA141">
        <v>124.7</v>
      </c>
      <c r="AB141">
        <v>113.4</v>
      </c>
      <c r="AC141">
        <v>121.7</v>
      </c>
      <c r="AD141">
        <v>121.3</v>
      </c>
      <c r="AE141" s="3">
        <f t="shared" si="11"/>
        <v>119.46</v>
      </c>
      <c r="AF141" s="3">
        <v>132.1</v>
      </c>
      <c r="AG141" s="3">
        <v>121.3</v>
      </c>
      <c r="AH141">
        <v>128.5</v>
      </c>
    </row>
    <row r="142" spans="1:34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 s="3">
        <f t="shared" si="8"/>
        <v>135.36923076923077</v>
      </c>
      <c r="R142" s="3">
        <v>142</v>
      </c>
      <c r="S142">
        <v>135.80000000000001</v>
      </c>
      <c r="T142">
        <v>129.30000000000001</v>
      </c>
      <c r="U142">
        <v>135</v>
      </c>
      <c r="V142" s="3">
        <f t="shared" si="9"/>
        <v>133.36666666666667</v>
      </c>
      <c r="W142">
        <v>129.1</v>
      </c>
      <c r="X142" s="3">
        <f t="shared" si="10"/>
        <v>129.1</v>
      </c>
      <c r="Y142" s="3">
        <v>126.4</v>
      </c>
      <c r="Z142">
        <v>125</v>
      </c>
      <c r="AA142">
        <v>128.6</v>
      </c>
      <c r="AB142">
        <v>115.7</v>
      </c>
      <c r="AC142">
        <v>124</v>
      </c>
      <c r="AD142">
        <v>122.6</v>
      </c>
      <c r="AE142" s="3">
        <f t="shared" si="11"/>
        <v>123.17999999999999</v>
      </c>
      <c r="AF142" s="3">
        <v>132.80000000000001</v>
      </c>
      <c r="AG142" s="3">
        <v>123.8</v>
      </c>
      <c r="AH142">
        <v>131.19999999999999</v>
      </c>
    </row>
    <row r="143" spans="1:34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 s="3">
        <f t="shared" si="8"/>
        <v>134.54615384615383</v>
      </c>
      <c r="R143" s="3">
        <v>142.4</v>
      </c>
      <c r="S143">
        <v>140.4</v>
      </c>
      <c r="T143">
        <v>135.19999999999999</v>
      </c>
      <c r="U143">
        <v>139.69999999999999</v>
      </c>
      <c r="V143" s="3">
        <f t="shared" si="9"/>
        <v>138.43333333333334</v>
      </c>
      <c r="W143" t="s">
        <v>32</v>
      </c>
      <c r="X143" s="3">
        <f t="shared" si="10"/>
        <v>128.5</v>
      </c>
      <c r="Y143" s="3">
        <v>129.69999999999999</v>
      </c>
      <c r="Z143">
        <v>132</v>
      </c>
      <c r="AA143">
        <v>132.9</v>
      </c>
      <c r="AB143">
        <v>118.6</v>
      </c>
      <c r="AC143">
        <v>127.3</v>
      </c>
      <c r="AD143">
        <v>121.9</v>
      </c>
      <c r="AE143" s="3">
        <f t="shared" si="11"/>
        <v>126.54</v>
      </c>
      <c r="AF143" s="3">
        <v>134.19999999999999</v>
      </c>
      <c r="AG143" s="3">
        <v>126.3</v>
      </c>
      <c r="AH143">
        <v>132.80000000000001</v>
      </c>
    </row>
    <row r="144" spans="1:34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 s="3">
        <f t="shared" si="8"/>
        <v>133.06153846153845</v>
      </c>
      <c r="R144" s="3">
        <v>145</v>
      </c>
      <c r="S144">
        <v>130</v>
      </c>
      <c r="T144">
        <v>122.2</v>
      </c>
      <c r="U144">
        <v>128.80000000000001</v>
      </c>
      <c r="V144" s="3">
        <f t="shared" si="9"/>
        <v>127</v>
      </c>
      <c r="W144">
        <v>128.5</v>
      </c>
      <c r="X144" s="3">
        <f t="shared" si="10"/>
        <v>128.5</v>
      </c>
      <c r="Y144" s="3">
        <v>122.3</v>
      </c>
      <c r="Z144">
        <v>117.8</v>
      </c>
      <c r="AA144">
        <v>125</v>
      </c>
      <c r="AB144">
        <v>113.7</v>
      </c>
      <c r="AC144">
        <v>121.8</v>
      </c>
      <c r="AD144">
        <v>119.9</v>
      </c>
      <c r="AE144" s="3">
        <f t="shared" si="11"/>
        <v>119.64000000000001</v>
      </c>
      <c r="AF144" s="3">
        <v>132.30000000000001</v>
      </c>
      <c r="AG144" s="3">
        <v>121.4</v>
      </c>
      <c r="AH144">
        <v>127.6</v>
      </c>
    </row>
    <row r="145" spans="1:34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 s="3">
        <f t="shared" si="8"/>
        <v>133.9</v>
      </c>
      <c r="R145" s="3">
        <v>143.1</v>
      </c>
      <c r="S145">
        <v>136.30000000000001</v>
      </c>
      <c r="T145">
        <v>129.80000000000001</v>
      </c>
      <c r="U145">
        <v>135.4</v>
      </c>
      <c r="V145" s="3">
        <f t="shared" si="9"/>
        <v>133.83333333333334</v>
      </c>
      <c r="W145">
        <v>128.5</v>
      </c>
      <c r="X145" s="3">
        <f t="shared" si="10"/>
        <v>128.5</v>
      </c>
      <c r="Y145" s="3">
        <v>126.9</v>
      </c>
      <c r="Z145">
        <v>126.6</v>
      </c>
      <c r="AA145">
        <v>129.19999999999999</v>
      </c>
      <c r="AB145">
        <v>116</v>
      </c>
      <c r="AC145">
        <v>124.2</v>
      </c>
      <c r="AD145">
        <v>121.1</v>
      </c>
      <c r="AE145" s="3">
        <f t="shared" si="11"/>
        <v>123.41999999999999</v>
      </c>
      <c r="AF145" s="3">
        <v>133.1</v>
      </c>
      <c r="AG145" s="3">
        <v>123.9</v>
      </c>
      <c r="AH145">
        <v>130.4</v>
      </c>
    </row>
    <row r="146" spans="1:34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 s="3">
        <f t="shared" si="8"/>
        <v>133.63846153846154</v>
      </c>
      <c r="R146" s="3">
        <v>143.1</v>
      </c>
      <c r="S146">
        <v>140.69999999999999</v>
      </c>
      <c r="T146">
        <v>135.80000000000001</v>
      </c>
      <c r="U146">
        <v>140</v>
      </c>
      <c r="V146" s="3">
        <f t="shared" si="9"/>
        <v>138.83333333333334</v>
      </c>
      <c r="W146" t="s">
        <v>32</v>
      </c>
      <c r="X146" s="3">
        <f t="shared" si="10"/>
        <v>129.6</v>
      </c>
      <c r="Y146" s="3">
        <v>129.9</v>
      </c>
      <c r="Z146">
        <v>132.1</v>
      </c>
      <c r="AA146">
        <v>133.19999999999999</v>
      </c>
      <c r="AB146">
        <v>119.1</v>
      </c>
      <c r="AC146">
        <v>127</v>
      </c>
      <c r="AD146">
        <v>122.3</v>
      </c>
      <c r="AE146" s="3">
        <f t="shared" si="11"/>
        <v>126.73999999999998</v>
      </c>
      <c r="AF146" s="3">
        <v>134.6</v>
      </c>
      <c r="AG146" s="3">
        <v>126.6</v>
      </c>
      <c r="AH146">
        <v>132.4</v>
      </c>
    </row>
    <row r="147" spans="1:34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 s="3">
        <f t="shared" si="8"/>
        <v>131.78461538461539</v>
      </c>
      <c r="R147" s="3">
        <v>145.6</v>
      </c>
      <c r="S147">
        <v>130.19999999999999</v>
      </c>
      <c r="T147">
        <v>122.3</v>
      </c>
      <c r="U147">
        <v>129</v>
      </c>
      <c r="V147" s="3">
        <f t="shared" si="9"/>
        <v>127.16666666666667</v>
      </c>
      <c r="W147">
        <v>129.6</v>
      </c>
      <c r="X147" s="3">
        <f t="shared" si="10"/>
        <v>129.6</v>
      </c>
      <c r="Y147" s="3">
        <v>122.6</v>
      </c>
      <c r="Z147">
        <v>118</v>
      </c>
      <c r="AA147">
        <v>125.1</v>
      </c>
      <c r="AB147">
        <v>115.2</v>
      </c>
      <c r="AC147">
        <v>122</v>
      </c>
      <c r="AD147">
        <v>120.9</v>
      </c>
      <c r="AE147" s="3">
        <f t="shared" si="11"/>
        <v>120.24000000000001</v>
      </c>
      <c r="AF147" s="3">
        <v>132.4</v>
      </c>
      <c r="AG147" s="3">
        <v>122.1</v>
      </c>
      <c r="AH147">
        <v>127.8</v>
      </c>
    </row>
    <row r="148" spans="1:34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 s="3">
        <f t="shared" si="8"/>
        <v>132.86923076923074</v>
      </c>
      <c r="R148" s="3">
        <v>143.80000000000001</v>
      </c>
      <c r="S148">
        <v>136.6</v>
      </c>
      <c r="T148">
        <v>130.19999999999999</v>
      </c>
      <c r="U148">
        <v>135.6</v>
      </c>
      <c r="V148" s="3">
        <f t="shared" si="9"/>
        <v>134.13333333333333</v>
      </c>
      <c r="W148">
        <v>129.6</v>
      </c>
      <c r="X148" s="3">
        <f t="shared" si="10"/>
        <v>129.6</v>
      </c>
      <c r="Y148" s="3">
        <v>127.1</v>
      </c>
      <c r="Z148">
        <v>126.8</v>
      </c>
      <c r="AA148">
        <v>129.4</v>
      </c>
      <c r="AB148">
        <v>117</v>
      </c>
      <c r="AC148">
        <v>124.2</v>
      </c>
      <c r="AD148">
        <v>121.7</v>
      </c>
      <c r="AE148" s="3">
        <f t="shared" si="11"/>
        <v>123.82000000000001</v>
      </c>
      <c r="AF148" s="3">
        <v>133.30000000000001</v>
      </c>
      <c r="AG148" s="3">
        <v>124.4</v>
      </c>
      <c r="AH148">
        <v>130.30000000000001</v>
      </c>
    </row>
    <row r="149" spans="1:34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 s="3">
        <f t="shared" si="8"/>
        <v>133.42307692307693</v>
      </c>
      <c r="R149" s="3">
        <v>143.69999999999999</v>
      </c>
      <c r="S149">
        <v>140.9</v>
      </c>
      <c r="T149">
        <v>135.80000000000001</v>
      </c>
      <c r="U149">
        <v>140.19999999999999</v>
      </c>
      <c r="V149" s="3">
        <f t="shared" si="9"/>
        <v>138.96666666666667</v>
      </c>
      <c r="W149" t="s">
        <v>32</v>
      </c>
      <c r="X149" s="3">
        <f t="shared" si="10"/>
        <v>130.5</v>
      </c>
      <c r="Y149" s="3">
        <v>130.1</v>
      </c>
      <c r="Z149">
        <v>133.19999999999999</v>
      </c>
      <c r="AA149">
        <v>133.6</v>
      </c>
      <c r="AB149">
        <v>119.5</v>
      </c>
      <c r="AC149">
        <v>127.7</v>
      </c>
      <c r="AD149">
        <v>123.2</v>
      </c>
      <c r="AE149" s="3">
        <f t="shared" si="11"/>
        <v>127.44000000000001</v>
      </c>
      <c r="AF149" s="3">
        <v>134.9</v>
      </c>
      <c r="AG149" s="3">
        <v>127</v>
      </c>
      <c r="AH149">
        <v>132.6</v>
      </c>
    </row>
    <row r="150" spans="1:34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 s="3">
        <f t="shared" si="8"/>
        <v>131.17692307692309</v>
      </c>
      <c r="R150" s="3">
        <v>146.30000000000001</v>
      </c>
      <c r="S150">
        <v>130.5</v>
      </c>
      <c r="T150">
        <v>122.5</v>
      </c>
      <c r="U150">
        <v>129.30000000000001</v>
      </c>
      <c r="V150" s="3">
        <f t="shared" si="9"/>
        <v>127.43333333333334</v>
      </c>
      <c r="W150">
        <v>130.5</v>
      </c>
      <c r="X150" s="3">
        <f t="shared" si="10"/>
        <v>130.5</v>
      </c>
      <c r="Y150" s="3">
        <v>122.9</v>
      </c>
      <c r="Z150">
        <v>119.2</v>
      </c>
      <c r="AA150">
        <v>125.3</v>
      </c>
      <c r="AB150">
        <v>115.5</v>
      </c>
      <c r="AC150">
        <v>122.2</v>
      </c>
      <c r="AD150">
        <v>121.7</v>
      </c>
      <c r="AE150" s="3">
        <f t="shared" si="11"/>
        <v>120.78</v>
      </c>
      <c r="AF150" s="3">
        <v>132.4</v>
      </c>
      <c r="AG150" s="3">
        <v>122.4</v>
      </c>
      <c r="AH150">
        <v>128.19999999999999</v>
      </c>
    </row>
    <row r="151" spans="1:34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 s="3">
        <f t="shared" si="8"/>
        <v>132.48461538461541</v>
      </c>
      <c r="R151" s="3">
        <v>144.4</v>
      </c>
      <c r="S151">
        <v>136.80000000000001</v>
      </c>
      <c r="T151">
        <v>130.30000000000001</v>
      </c>
      <c r="U151">
        <v>135.9</v>
      </c>
      <c r="V151" s="3">
        <f t="shared" si="9"/>
        <v>134.33333333333334</v>
      </c>
      <c r="W151">
        <v>130.5</v>
      </c>
      <c r="X151" s="3">
        <f t="shared" si="10"/>
        <v>130.5</v>
      </c>
      <c r="Y151" s="3">
        <v>127.4</v>
      </c>
      <c r="Z151">
        <v>127.9</v>
      </c>
      <c r="AA151">
        <v>129.69999999999999</v>
      </c>
      <c r="AB151">
        <v>117.4</v>
      </c>
      <c r="AC151">
        <v>124.6</v>
      </c>
      <c r="AD151">
        <v>122.6</v>
      </c>
      <c r="AE151" s="3">
        <f t="shared" si="11"/>
        <v>124.44000000000001</v>
      </c>
      <c r="AF151" s="3">
        <v>133.4</v>
      </c>
      <c r="AG151" s="3">
        <v>124.8</v>
      </c>
      <c r="AH151">
        <v>130.6</v>
      </c>
    </row>
    <row r="152" spans="1:34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 s="3">
        <f t="shared" si="8"/>
        <v>132.96153846153848</v>
      </c>
      <c r="R152" s="3">
        <v>144.19999999999999</v>
      </c>
      <c r="S152">
        <v>141.6</v>
      </c>
      <c r="T152">
        <v>136.19999999999999</v>
      </c>
      <c r="U152">
        <v>140.80000000000001</v>
      </c>
      <c r="V152" s="3">
        <f t="shared" si="9"/>
        <v>139.53333333333333</v>
      </c>
      <c r="W152" t="s">
        <v>32</v>
      </c>
      <c r="X152" s="3">
        <f t="shared" si="10"/>
        <v>131.1</v>
      </c>
      <c r="Y152" s="3">
        <v>130.6</v>
      </c>
      <c r="Z152">
        <v>134.19999999999999</v>
      </c>
      <c r="AA152">
        <v>134.1</v>
      </c>
      <c r="AB152">
        <v>119.8</v>
      </c>
      <c r="AC152">
        <v>128.30000000000001</v>
      </c>
      <c r="AD152">
        <v>123.3</v>
      </c>
      <c r="AE152" s="3">
        <f t="shared" si="11"/>
        <v>127.93999999999998</v>
      </c>
      <c r="AF152" s="3">
        <v>135.19999999999999</v>
      </c>
      <c r="AG152" s="3">
        <v>127.4</v>
      </c>
      <c r="AH152">
        <v>132.80000000000001</v>
      </c>
    </row>
    <row r="153" spans="1:34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 s="3">
        <f t="shared" si="8"/>
        <v>131.2076923076923</v>
      </c>
      <c r="R153" s="3">
        <v>147.5</v>
      </c>
      <c r="S153">
        <v>130.80000000000001</v>
      </c>
      <c r="T153">
        <v>122.8</v>
      </c>
      <c r="U153">
        <v>129.6</v>
      </c>
      <c r="V153" s="3">
        <f t="shared" si="9"/>
        <v>127.73333333333335</v>
      </c>
      <c r="W153">
        <v>131.1</v>
      </c>
      <c r="X153" s="3">
        <f t="shared" si="10"/>
        <v>131.1</v>
      </c>
      <c r="Y153" s="3">
        <v>123.1</v>
      </c>
      <c r="Z153">
        <v>120.8</v>
      </c>
      <c r="AA153">
        <v>125.6</v>
      </c>
      <c r="AB153">
        <v>115.6</v>
      </c>
      <c r="AC153">
        <v>122.4</v>
      </c>
      <c r="AD153">
        <v>121.7</v>
      </c>
      <c r="AE153" s="3">
        <f t="shared" si="11"/>
        <v>121.22</v>
      </c>
      <c r="AF153" s="3">
        <v>132.80000000000001</v>
      </c>
      <c r="AG153" s="3">
        <v>122.6</v>
      </c>
      <c r="AH153">
        <v>128.69999999999999</v>
      </c>
    </row>
    <row r="154" spans="1:34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 s="3">
        <f t="shared" si="8"/>
        <v>132.22307692307692</v>
      </c>
      <c r="R154" s="3">
        <v>145.1</v>
      </c>
      <c r="S154">
        <v>137.30000000000001</v>
      </c>
      <c r="T154">
        <v>130.6</v>
      </c>
      <c r="U154">
        <v>136.4</v>
      </c>
      <c r="V154" s="3">
        <f t="shared" si="9"/>
        <v>134.76666666666665</v>
      </c>
      <c r="W154">
        <v>131.1</v>
      </c>
      <c r="X154" s="3">
        <f t="shared" si="10"/>
        <v>131.1</v>
      </c>
      <c r="Y154" s="3">
        <v>127.8</v>
      </c>
      <c r="Z154">
        <v>129.1</v>
      </c>
      <c r="AA154">
        <v>130.1</v>
      </c>
      <c r="AB154">
        <v>117.6</v>
      </c>
      <c r="AC154">
        <v>125</v>
      </c>
      <c r="AD154">
        <v>122.6</v>
      </c>
      <c r="AE154" s="3">
        <f t="shared" si="11"/>
        <v>124.88</v>
      </c>
      <c r="AF154" s="3">
        <v>133.80000000000001</v>
      </c>
      <c r="AG154" s="3">
        <v>125.1</v>
      </c>
      <c r="AH154">
        <v>130.9</v>
      </c>
    </row>
    <row r="155" spans="1:34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 s="3">
        <f t="shared" si="8"/>
        <v>132.7923076923077</v>
      </c>
      <c r="R155" s="3">
        <v>144.4</v>
      </c>
      <c r="S155">
        <v>142.4</v>
      </c>
      <c r="T155">
        <v>136.80000000000001</v>
      </c>
      <c r="U155">
        <v>141.6</v>
      </c>
      <c r="V155" s="3">
        <f t="shared" si="9"/>
        <v>140.26666666666668</v>
      </c>
      <c r="W155" t="s">
        <v>32</v>
      </c>
      <c r="X155" s="3">
        <f t="shared" si="10"/>
        <v>131.69999999999999</v>
      </c>
      <c r="Y155" s="3">
        <v>131</v>
      </c>
      <c r="Z155">
        <v>135</v>
      </c>
      <c r="AA155">
        <v>134.30000000000001</v>
      </c>
      <c r="AB155">
        <v>119.2</v>
      </c>
      <c r="AC155">
        <v>128.30000000000001</v>
      </c>
      <c r="AD155">
        <v>123.7</v>
      </c>
      <c r="AE155" s="3">
        <f t="shared" si="11"/>
        <v>128.1</v>
      </c>
      <c r="AF155" s="3">
        <v>135.69999999999999</v>
      </c>
      <c r="AG155" s="3">
        <v>127.5</v>
      </c>
      <c r="AH155">
        <v>132.9</v>
      </c>
    </row>
    <row r="156" spans="1:34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 s="3">
        <f t="shared" si="8"/>
        <v>131.3923076923077</v>
      </c>
      <c r="R156" s="3">
        <v>148</v>
      </c>
      <c r="S156">
        <v>131.19999999999999</v>
      </c>
      <c r="T156">
        <v>123</v>
      </c>
      <c r="U156">
        <v>130</v>
      </c>
      <c r="V156" s="3">
        <f t="shared" si="9"/>
        <v>128.06666666666666</v>
      </c>
      <c r="W156">
        <v>131.69999999999999</v>
      </c>
      <c r="X156" s="3">
        <f t="shared" si="10"/>
        <v>131.69999999999999</v>
      </c>
      <c r="Y156" s="3">
        <v>123.4</v>
      </c>
      <c r="Z156">
        <v>121.4</v>
      </c>
      <c r="AA156">
        <v>126</v>
      </c>
      <c r="AB156">
        <v>114.3</v>
      </c>
      <c r="AC156">
        <v>122.6</v>
      </c>
      <c r="AD156">
        <v>122.2</v>
      </c>
      <c r="AE156" s="3">
        <f t="shared" si="11"/>
        <v>121.3</v>
      </c>
      <c r="AF156" s="3">
        <v>133.6</v>
      </c>
      <c r="AG156" s="3">
        <v>122.5</v>
      </c>
      <c r="AH156">
        <v>129.1</v>
      </c>
    </row>
    <row r="157" spans="1:34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 s="3">
        <f t="shared" si="8"/>
        <v>132.1846153846154</v>
      </c>
      <c r="R157" s="3">
        <v>145.4</v>
      </c>
      <c r="S157">
        <v>138</v>
      </c>
      <c r="T157">
        <v>131.1</v>
      </c>
      <c r="U157">
        <v>137</v>
      </c>
      <c r="V157" s="3">
        <f t="shared" si="9"/>
        <v>135.36666666666667</v>
      </c>
      <c r="W157">
        <v>131.69999999999999</v>
      </c>
      <c r="X157" s="3">
        <f t="shared" si="10"/>
        <v>131.69999999999999</v>
      </c>
      <c r="Y157" s="3">
        <v>128.1</v>
      </c>
      <c r="Z157">
        <v>129.80000000000001</v>
      </c>
      <c r="AA157">
        <v>130.4</v>
      </c>
      <c r="AB157">
        <v>116.6</v>
      </c>
      <c r="AC157">
        <v>125.1</v>
      </c>
      <c r="AD157">
        <v>123.1</v>
      </c>
      <c r="AE157" s="3">
        <f t="shared" si="11"/>
        <v>125.00000000000003</v>
      </c>
      <c r="AF157" s="3">
        <v>134.5</v>
      </c>
      <c r="AG157" s="3">
        <v>125.1</v>
      </c>
      <c r="AH157">
        <v>131.1</v>
      </c>
    </row>
    <row r="158" spans="1:34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 s="3">
        <f t="shared" si="8"/>
        <v>132.88461538461536</v>
      </c>
      <c r="R158" s="3">
        <v>145.5</v>
      </c>
      <c r="S158">
        <v>142.5</v>
      </c>
      <c r="T158">
        <v>137.30000000000001</v>
      </c>
      <c r="U158">
        <v>141.80000000000001</v>
      </c>
      <c r="V158" s="3">
        <f t="shared" si="9"/>
        <v>140.53333333333333</v>
      </c>
      <c r="W158" t="s">
        <v>32</v>
      </c>
      <c r="X158" s="3">
        <f t="shared" si="10"/>
        <v>132.1</v>
      </c>
      <c r="Y158" s="3">
        <v>131.4</v>
      </c>
      <c r="Z158">
        <v>135</v>
      </c>
      <c r="AA158">
        <v>134.9</v>
      </c>
      <c r="AB158">
        <v>119.4</v>
      </c>
      <c r="AC158">
        <v>129.4</v>
      </c>
      <c r="AD158">
        <v>123.7</v>
      </c>
      <c r="AE158" s="3">
        <f t="shared" si="11"/>
        <v>128.47999999999999</v>
      </c>
      <c r="AF158" s="3">
        <v>136.30000000000001</v>
      </c>
      <c r="AG158" s="3">
        <v>127.9</v>
      </c>
      <c r="AH158">
        <v>133.30000000000001</v>
      </c>
    </row>
    <row r="159" spans="1:34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 s="3">
        <f t="shared" si="8"/>
        <v>131.50769230769231</v>
      </c>
      <c r="R159" s="3">
        <v>148.30000000000001</v>
      </c>
      <c r="S159">
        <v>131.5</v>
      </c>
      <c r="T159">
        <v>123.2</v>
      </c>
      <c r="U159">
        <v>130.19999999999999</v>
      </c>
      <c r="V159" s="3">
        <f t="shared" si="9"/>
        <v>128.29999999999998</v>
      </c>
      <c r="W159">
        <v>132.1</v>
      </c>
      <c r="X159" s="3">
        <f t="shared" si="10"/>
        <v>132.1</v>
      </c>
      <c r="Y159" s="3">
        <v>123.6</v>
      </c>
      <c r="Z159">
        <v>120.1</v>
      </c>
      <c r="AA159">
        <v>126.5</v>
      </c>
      <c r="AB159">
        <v>114.3</v>
      </c>
      <c r="AC159">
        <v>122.8</v>
      </c>
      <c r="AD159">
        <v>122</v>
      </c>
      <c r="AE159" s="3">
        <f t="shared" si="11"/>
        <v>121.14000000000001</v>
      </c>
      <c r="AF159" s="3">
        <v>133.80000000000001</v>
      </c>
      <c r="AG159" s="3">
        <v>122.6</v>
      </c>
      <c r="AH159">
        <v>129.30000000000001</v>
      </c>
    </row>
    <row r="160" spans="1:34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 s="3">
        <f t="shared" si="8"/>
        <v>132.27692307692308</v>
      </c>
      <c r="R160" s="3">
        <v>146.19999999999999</v>
      </c>
      <c r="S160">
        <v>138.19999999999999</v>
      </c>
      <c r="T160">
        <v>131.4</v>
      </c>
      <c r="U160">
        <v>137.19999999999999</v>
      </c>
      <c r="V160" s="3">
        <f t="shared" si="9"/>
        <v>135.6</v>
      </c>
      <c r="W160">
        <v>132.1</v>
      </c>
      <c r="X160" s="3">
        <f t="shared" si="10"/>
        <v>132.1</v>
      </c>
      <c r="Y160" s="3">
        <v>128.4</v>
      </c>
      <c r="Z160">
        <v>129.4</v>
      </c>
      <c r="AA160">
        <v>130.9</v>
      </c>
      <c r="AB160">
        <v>116.7</v>
      </c>
      <c r="AC160">
        <v>125.7</v>
      </c>
      <c r="AD160">
        <v>123</v>
      </c>
      <c r="AE160" s="3">
        <f t="shared" si="11"/>
        <v>125.14000000000001</v>
      </c>
      <c r="AF160" s="3">
        <v>134.80000000000001</v>
      </c>
      <c r="AG160" s="3">
        <v>125.3</v>
      </c>
      <c r="AH160">
        <v>131.4</v>
      </c>
    </row>
    <row r="161" spans="1:34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 s="3">
        <f t="shared" si="8"/>
        <v>133.75384615384615</v>
      </c>
      <c r="R161" s="3">
        <v>145.80000000000001</v>
      </c>
      <c r="S161">
        <v>143.1</v>
      </c>
      <c r="T161">
        <v>137.69999999999999</v>
      </c>
      <c r="U161">
        <v>142.30000000000001</v>
      </c>
      <c r="V161" s="3">
        <f t="shared" si="9"/>
        <v>141.03333333333333</v>
      </c>
      <c r="W161" t="s">
        <v>32</v>
      </c>
      <c r="X161" s="3">
        <f t="shared" si="10"/>
        <v>131.4</v>
      </c>
      <c r="Y161" s="3">
        <v>131.30000000000001</v>
      </c>
      <c r="Z161">
        <v>134.80000000000001</v>
      </c>
      <c r="AA161">
        <v>135.19999999999999</v>
      </c>
      <c r="AB161">
        <v>119.4</v>
      </c>
      <c r="AC161">
        <v>129.80000000000001</v>
      </c>
      <c r="AD161">
        <v>124.1</v>
      </c>
      <c r="AE161" s="3">
        <f t="shared" si="11"/>
        <v>128.66000000000003</v>
      </c>
      <c r="AF161" s="3">
        <v>136.9</v>
      </c>
      <c r="AG161" s="3">
        <v>128.1</v>
      </c>
      <c r="AH161">
        <v>133.9</v>
      </c>
    </row>
    <row r="162" spans="1:34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 s="3">
        <f t="shared" si="8"/>
        <v>133.15384615384616</v>
      </c>
      <c r="R162" s="3">
        <v>148.6</v>
      </c>
      <c r="S162">
        <v>131.5</v>
      </c>
      <c r="T162">
        <v>123.2</v>
      </c>
      <c r="U162">
        <v>130.19999999999999</v>
      </c>
      <c r="V162" s="3">
        <f t="shared" si="9"/>
        <v>128.29999999999998</v>
      </c>
      <c r="W162">
        <v>131.4</v>
      </c>
      <c r="X162" s="3">
        <f t="shared" si="10"/>
        <v>131.4</v>
      </c>
      <c r="Y162" s="3">
        <v>123.8</v>
      </c>
      <c r="Z162">
        <v>119</v>
      </c>
      <c r="AA162">
        <v>126.8</v>
      </c>
      <c r="AB162">
        <v>113.9</v>
      </c>
      <c r="AC162">
        <v>122.9</v>
      </c>
      <c r="AD162">
        <v>122.5</v>
      </c>
      <c r="AE162" s="3">
        <f t="shared" si="11"/>
        <v>121.02000000000001</v>
      </c>
      <c r="AF162" s="3">
        <v>134.30000000000001</v>
      </c>
      <c r="AG162" s="3">
        <v>122.7</v>
      </c>
      <c r="AH162">
        <v>129.9</v>
      </c>
    </row>
    <row r="163" spans="1:34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 s="3">
        <f t="shared" si="8"/>
        <v>133.43846153846155</v>
      </c>
      <c r="R163" s="3">
        <v>146.5</v>
      </c>
      <c r="S163">
        <v>138.5</v>
      </c>
      <c r="T163">
        <v>131.69999999999999</v>
      </c>
      <c r="U163">
        <v>137.5</v>
      </c>
      <c r="V163" s="3">
        <f t="shared" si="9"/>
        <v>135.9</v>
      </c>
      <c r="W163">
        <v>131.4</v>
      </c>
      <c r="X163" s="3">
        <f t="shared" si="10"/>
        <v>131.4</v>
      </c>
      <c r="Y163" s="3">
        <v>128.5</v>
      </c>
      <c r="Z163">
        <v>128.80000000000001</v>
      </c>
      <c r="AA163">
        <v>131.19999999999999</v>
      </c>
      <c r="AB163">
        <v>116.5</v>
      </c>
      <c r="AC163">
        <v>125.9</v>
      </c>
      <c r="AD163">
        <v>123.4</v>
      </c>
      <c r="AE163" s="3">
        <f t="shared" si="11"/>
        <v>125.16</v>
      </c>
      <c r="AF163" s="3">
        <v>135.4</v>
      </c>
      <c r="AG163" s="3">
        <v>125.5</v>
      </c>
      <c r="AH163">
        <v>132</v>
      </c>
    </row>
    <row r="164" spans="1:34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 s="3">
        <f t="shared" si="8"/>
        <v>136.37692307692308</v>
      </c>
      <c r="R164" s="3">
        <v>147.4</v>
      </c>
      <c r="S164">
        <v>144.30000000000001</v>
      </c>
      <c r="T164">
        <v>138.1</v>
      </c>
      <c r="U164">
        <v>143.5</v>
      </c>
      <c r="V164" s="3">
        <f t="shared" si="9"/>
        <v>141.96666666666667</v>
      </c>
      <c r="W164" t="s">
        <v>32</v>
      </c>
      <c r="X164" s="3">
        <f t="shared" si="10"/>
        <v>132.6</v>
      </c>
      <c r="Y164" s="3">
        <v>132.1</v>
      </c>
      <c r="Z164">
        <v>135.30000000000001</v>
      </c>
      <c r="AA164">
        <v>136.1</v>
      </c>
      <c r="AB164">
        <v>119.1</v>
      </c>
      <c r="AC164">
        <v>130.6</v>
      </c>
      <c r="AD164">
        <v>124.4</v>
      </c>
      <c r="AE164" s="3">
        <f t="shared" si="11"/>
        <v>129.1</v>
      </c>
      <c r="AF164" s="3">
        <v>138.6</v>
      </c>
      <c r="AG164" s="3">
        <v>128.6</v>
      </c>
      <c r="AH164">
        <v>136.19999999999999</v>
      </c>
    </row>
    <row r="165" spans="1:34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 s="3">
        <f t="shared" si="8"/>
        <v>136.00769230769231</v>
      </c>
      <c r="R165" s="3">
        <v>150.5</v>
      </c>
      <c r="S165">
        <v>131.6</v>
      </c>
      <c r="T165">
        <v>123.7</v>
      </c>
      <c r="U165">
        <v>130.4</v>
      </c>
      <c r="V165" s="3">
        <f t="shared" si="9"/>
        <v>128.56666666666669</v>
      </c>
      <c r="W165">
        <v>132.6</v>
      </c>
      <c r="X165" s="3">
        <f t="shared" si="10"/>
        <v>132.6</v>
      </c>
      <c r="Y165" s="3">
        <v>125</v>
      </c>
      <c r="Z165">
        <v>119.7</v>
      </c>
      <c r="AA165">
        <v>127.2</v>
      </c>
      <c r="AB165">
        <v>113.2</v>
      </c>
      <c r="AC165">
        <v>123.5</v>
      </c>
      <c r="AD165">
        <v>122.4</v>
      </c>
      <c r="AE165" s="3">
        <f t="shared" si="11"/>
        <v>121.2</v>
      </c>
      <c r="AF165" s="3">
        <v>135.5</v>
      </c>
      <c r="AG165" s="3">
        <v>123</v>
      </c>
      <c r="AH165">
        <v>131.80000000000001</v>
      </c>
    </row>
    <row r="166" spans="1:34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 s="3">
        <f t="shared" si="8"/>
        <v>136.1076923076923</v>
      </c>
      <c r="R166" s="3">
        <v>148.19999999999999</v>
      </c>
      <c r="S166">
        <v>139.30000000000001</v>
      </c>
      <c r="T166">
        <v>132.1</v>
      </c>
      <c r="U166">
        <v>138.30000000000001</v>
      </c>
      <c r="V166" s="3">
        <f t="shared" si="9"/>
        <v>136.56666666666666</v>
      </c>
      <c r="W166">
        <v>132.6</v>
      </c>
      <c r="X166" s="3">
        <f t="shared" si="10"/>
        <v>132.6</v>
      </c>
      <c r="Y166" s="3">
        <v>129.4</v>
      </c>
      <c r="Z166">
        <v>129.4</v>
      </c>
      <c r="AA166">
        <v>131.9</v>
      </c>
      <c r="AB166">
        <v>116</v>
      </c>
      <c r="AC166">
        <v>126.6</v>
      </c>
      <c r="AD166">
        <v>123.6</v>
      </c>
      <c r="AE166" s="3">
        <f t="shared" si="11"/>
        <v>125.5</v>
      </c>
      <c r="AF166" s="3">
        <v>136.80000000000001</v>
      </c>
      <c r="AG166" s="3">
        <v>125.9</v>
      </c>
      <c r="AH166">
        <v>134.19999999999999</v>
      </c>
    </row>
    <row r="167" spans="1:34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 s="3">
        <f t="shared" si="8"/>
        <v>137.88461538461536</v>
      </c>
      <c r="R167" s="3">
        <v>149</v>
      </c>
      <c r="S167">
        <v>145.30000000000001</v>
      </c>
      <c r="T167">
        <v>139.19999999999999</v>
      </c>
      <c r="U167">
        <v>144.5</v>
      </c>
      <c r="V167" s="3">
        <f t="shared" si="9"/>
        <v>143</v>
      </c>
      <c r="W167" t="s">
        <v>32</v>
      </c>
      <c r="X167" s="3">
        <f t="shared" si="10"/>
        <v>134.4</v>
      </c>
      <c r="Y167" s="3">
        <v>133</v>
      </c>
      <c r="Z167">
        <v>136.4</v>
      </c>
      <c r="AA167">
        <v>137.30000000000001</v>
      </c>
      <c r="AB167">
        <v>120.3</v>
      </c>
      <c r="AC167">
        <v>131.5</v>
      </c>
      <c r="AD167">
        <v>125.4</v>
      </c>
      <c r="AE167" s="3">
        <f t="shared" si="11"/>
        <v>130.18</v>
      </c>
      <c r="AF167" s="3">
        <v>140.19999999999999</v>
      </c>
      <c r="AG167" s="3">
        <v>129.69999999999999</v>
      </c>
      <c r="AH167">
        <v>137.80000000000001</v>
      </c>
    </row>
    <row r="168" spans="1:34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 s="3">
        <f t="shared" si="8"/>
        <v>136.38461538461536</v>
      </c>
      <c r="R168" s="3">
        <v>152.1</v>
      </c>
      <c r="S168">
        <v>132.69999999999999</v>
      </c>
      <c r="T168">
        <v>124.3</v>
      </c>
      <c r="U168">
        <v>131.4</v>
      </c>
      <c r="V168" s="3">
        <f t="shared" si="9"/>
        <v>129.46666666666667</v>
      </c>
      <c r="W168">
        <v>134.4</v>
      </c>
      <c r="X168" s="3">
        <f t="shared" si="10"/>
        <v>134.4</v>
      </c>
      <c r="Y168" s="3">
        <v>125.7</v>
      </c>
      <c r="Z168">
        <v>118.9</v>
      </c>
      <c r="AA168">
        <v>127.7</v>
      </c>
      <c r="AB168">
        <v>114.6</v>
      </c>
      <c r="AC168">
        <v>124.1</v>
      </c>
      <c r="AD168">
        <v>123.3</v>
      </c>
      <c r="AE168" s="3">
        <f t="shared" si="11"/>
        <v>121.72</v>
      </c>
      <c r="AF168" s="3">
        <v>135.69999999999999</v>
      </c>
      <c r="AG168" s="3">
        <v>123.8</v>
      </c>
      <c r="AH168">
        <v>132.69999999999999</v>
      </c>
    </row>
    <row r="169" spans="1:34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 s="3">
        <f t="shared" si="8"/>
        <v>137.21538461538461</v>
      </c>
      <c r="R169" s="3">
        <v>149.80000000000001</v>
      </c>
      <c r="S169">
        <v>140.30000000000001</v>
      </c>
      <c r="T169">
        <v>133</v>
      </c>
      <c r="U169">
        <v>139.30000000000001</v>
      </c>
      <c r="V169" s="3">
        <f t="shared" si="9"/>
        <v>137.53333333333333</v>
      </c>
      <c r="W169">
        <v>134.4</v>
      </c>
      <c r="X169" s="3">
        <f t="shared" si="10"/>
        <v>134.4</v>
      </c>
      <c r="Y169" s="3">
        <v>130.19999999999999</v>
      </c>
      <c r="Z169">
        <v>129.80000000000001</v>
      </c>
      <c r="AA169">
        <v>132.80000000000001</v>
      </c>
      <c r="AB169">
        <v>117.3</v>
      </c>
      <c r="AC169">
        <v>127.3</v>
      </c>
      <c r="AD169">
        <v>124.5</v>
      </c>
      <c r="AE169" s="3">
        <f t="shared" si="11"/>
        <v>126.34</v>
      </c>
      <c r="AF169" s="3">
        <v>137.6</v>
      </c>
      <c r="AG169" s="3">
        <v>126.8</v>
      </c>
      <c r="AH169">
        <v>135.4</v>
      </c>
    </row>
    <row r="170" spans="1:34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 s="3">
        <f t="shared" si="8"/>
        <v>137.25384615384615</v>
      </c>
      <c r="R170" s="3">
        <v>149.80000000000001</v>
      </c>
      <c r="S170">
        <v>146.1</v>
      </c>
      <c r="T170">
        <v>139.69999999999999</v>
      </c>
      <c r="U170">
        <v>145.19999999999999</v>
      </c>
      <c r="V170" s="3">
        <f t="shared" si="9"/>
        <v>143.66666666666666</v>
      </c>
      <c r="W170" t="s">
        <v>32</v>
      </c>
      <c r="X170" s="3">
        <f t="shared" si="10"/>
        <v>135.69999999999999</v>
      </c>
      <c r="Y170" s="3">
        <v>133.4</v>
      </c>
      <c r="Z170">
        <v>137.4</v>
      </c>
      <c r="AA170">
        <v>137.9</v>
      </c>
      <c r="AB170">
        <v>121.2</v>
      </c>
      <c r="AC170">
        <v>132.30000000000001</v>
      </c>
      <c r="AD170">
        <v>126.7</v>
      </c>
      <c r="AE170" s="3">
        <f t="shared" si="11"/>
        <v>131.1</v>
      </c>
      <c r="AF170" s="3">
        <v>139.6</v>
      </c>
      <c r="AG170" s="3">
        <v>130.30000000000001</v>
      </c>
      <c r="AH170">
        <v>137.6</v>
      </c>
    </row>
    <row r="171" spans="1:34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 s="3">
        <f t="shared" si="8"/>
        <v>134.59230769230768</v>
      </c>
      <c r="R171" s="3">
        <v>153.6</v>
      </c>
      <c r="S171">
        <v>133.30000000000001</v>
      </c>
      <c r="T171">
        <v>124.6</v>
      </c>
      <c r="U171">
        <v>132</v>
      </c>
      <c r="V171" s="3">
        <f t="shared" si="9"/>
        <v>129.96666666666667</v>
      </c>
      <c r="W171">
        <v>135.69999999999999</v>
      </c>
      <c r="X171" s="3">
        <f t="shared" si="10"/>
        <v>135.69999999999999</v>
      </c>
      <c r="Y171" s="3">
        <v>126.1</v>
      </c>
      <c r="Z171">
        <v>120.6</v>
      </c>
      <c r="AA171">
        <v>128.1</v>
      </c>
      <c r="AB171">
        <v>115.7</v>
      </c>
      <c r="AC171">
        <v>124.5</v>
      </c>
      <c r="AD171">
        <v>124.4</v>
      </c>
      <c r="AE171" s="3">
        <f t="shared" si="11"/>
        <v>122.66</v>
      </c>
      <c r="AF171" s="3">
        <v>135.9</v>
      </c>
      <c r="AG171" s="3">
        <v>124.5</v>
      </c>
      <c r="AH171">
        <v>132.4</v>
      </c>
    </row>
    <row r="172" spans="1:34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 s="3">
        <f t="shared" si="8"/>
        <v>136.15384615384613</v>
      </c>
      <c r="R172" s="3">
        <v>150.80000000000001</v>
      </c>
      <c r="S172">
        <v>141.1</v>
      </c>
      <c r="T172">
        <v>133.4</v>
      </c>
      <c r="U172">
        <v>140</v>
      </c>
      <c r="V172" s="3">
        <f t="shared" si="9"/>
        <v>138.16666666666666</v>
      </c>
      <c r="W172">
        <v>135.69999999999999</v>
      </c>
      <c r="X172" s="3">
        <f t="shared" si="10"/>
        <v>135.69999999999999</v>
      </c>
      <c r="Y172" s="3">
        <v>130.6</v>
      </c>
      <c r="Z172">
        <v>131</v>
      </c>
      <c r="AA172">
        <v>133.30000000000001</v>
      </c>
      <c r="AB172">
        <v>118.3</v>
      </c>
      <c r="AC172">
        <v>127.9</v>
      </c>
      <c r="AD172">
        <v>125.7</v>
      </c>
      <c r="AE172" s="3">
        <f t="shared" si="11"/>
        <v>127.24000000000001</v>
      </c>
      <c r="AF172" s="3">
        <v>137.4</v>
      </c>
      <c r="AG172" s="3">
        <v>127.5</v>
      </c>
      <c r="AH172">
        <v>135.19999999999999</v>
      </c>
    </row>
    <row r="173" spans="1:34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 s="3">
        <f t="shared" si="8"/>
        <v>137.76153846153846</v>
      </c>
      <c r="R173" s="3">
        <v>150.5</v>
      </c>
      <c r="S173">
        <v>147.19999999999999</v>
      </c>
      <c r="T173">
        <v>140.6</v>
      </c>
      <c r="U173">
        <v>146.19999999999999</v>
      </c>
      <c r="V173" s="3">
        <f t="shared" si="9"/>
        <v>144.66666666666666</v>
      </c>
      <c r="W173" t="s">
        <v>32</v>
      </c>
      <c r="X173" s="3">
        <f t="shared" si="10"/>
        <v>137.30000000000001</v>
      </c>
      <c r="Y173" s="3">
        <v>134.19999999999999</v>
      </c>
      <c r="Z173">
        <v>138.1</v>
      </c>
      <c r="AA173">
        <v>138.4</v>
      </c>
      <c r="AB173">
        <v>121</v>
      </c>
      <c r="AC173">
        <v>133</v>
      </c>
      <c r="AD173">
        <v>127.4</v>
      </c>
      <c r="AE173" s="3">
        <f t="shared" si="11"/>
        <v>131.57999999999998</v>
      </c>
      <c r="AF173" s="3">
        <v>140.1</v>
      </c>
      <c r="AG173" s="3">
        <v>130.69999999999999</v>
      </c>
      <c r="AH173">
        <v>138.30000000000001</v>
      </c>
    </row>
    <row r="174" spans="1:34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 s="3">
        <f t="shared" si="8"/>
        <v>135.82307692307691</v>
      </c>
      <c r="R174" s="3">
        <v>154.6</v>
      </c>
      <c r="S174">
        <v>134</v>
      </c>
      <c r="T174">
        <v>124.9</v>
      </c>
      <c r="U174">
        <v>132.6</v>
      </c>
      <c r="V174" s="3">
        <f t="shared" si="9"/>
        <v>130.5</v>
      </c>
      <c r="W174">
        <v>137.30000000000001</v>
      </c>
      <c r="X174" s="3">
        <f t="shared" si="10"/>
        <v>137.30000000000001</v>
      </c>
      <c r="Y174" s="3">
        <v>126.6</v>
      </c>
      <c r="Z174">
        <v>122.6</v>
      </c>
      <c r="AA174">
        <v>128.30000000000001</v>
      </c>
      <c r="AB174">
        <v>115</v>
      </c>
      <c r="AC174">
        <v>124.8</v>
      </c>
      <c r="AD174">
        <v>124.6</v>
      </c>
      <c r="AE174" s="3">
        <f t="shared" si="11"/>
        <v>123.05999999999999</v>
      </c>
      <c r="AF174" s="3">
        <v>136.30000000000001</v>
      </c>
      <c r="AG174" s="3">
        <v>124.5</v>
      </c>
      <c r="AH174">
        <v>133.5</v>
      </c>
    </row>
    <row r="175" spans="1:34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 s="3">
        <f t="shared" si="8"/>
        <v>136.89999999999998</v>
      </c>
      <c r="R175" s="3">
        <v>151.6</v>
      </c>
      <c r="S175">
        <v>142</v>
      </c>
      <c r="T175">
        <v>134.1</v>
      </c>
      <c r="U175">
        <v>140.80000000000001</v>
      </c>
      <c r="V175" s="3">
        <f t="shared" si="9"/>
        <v>138.96666666666667</v>
      </c>
      <c r="W175">
        <v>137.30000000000001</v>
      </c>
      <c r="X175" s="3">
        <f t="shared" si="10"/>
        <v>137.30000000000001</v>
      </c>
      <c r="Y175" s="3">
        <v>131.30000000000001</v>
      </c>
      <c r="Z175">
        <v>132.19999999999999</v>
      </c>
      <c r="AA175">
        <v>133.6</v>
      </c>
      <c r="AB175">
        <v>117.8</v>
      </c>
      <c r="AC175">
        <v>128.4</v>
      </c>
      <c r="AD175">
        <v>126.2</v>
      </c>
      <c r="AE175" s="3">
        <f t="shared" si="11"/>
        <v>127.64000000000001</v>
      </c>
      <c r="AF175" s="3">
        <v>137.9</v>
      </c>
      <c r="AG175" s="3">
        <v>127.7</v>
      </c>
      <c r="AH175">
        <v>136.1</v>
      </c>
    </row>
    <row r="176" spans="1:34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 s="3">
        <f t="shared" si="8"/>
        <v>139.82307692307694</v>
      </c>
      <c r="R176" s="3">
        <v>152.1</v>
      </c>
      <c r="S176">
        <v>148.19999999999999</v>
      </c>
      <c r="T176">
        <v>141.5</v>
      </c>
      <c r="U176">
        <v>147.30000000000001</v>
      </c>
      <c r="V176" s="3">
        <f t="shared" si="9"/>
        <v>145.66666666666666</v>
      </c>
      <c r="W176" t="s">
        <v>32</v>
      </c>
      <c r="X176" s="3">
        <f t="shared" si="10"/>
        <v>138.6</v>
      </c>
      <c r="Y176" s="3">
        <v>135.80000000000001</v>
      </c>
      <c r="Z176">
        <v>141.1</v>
      </c>
      <c r="AA176">
        <v>139.4</v>
      </c>
      <c r="AB176">
        <v>121.6</v>
      </c>
      <c r="AC176">
        <v>133.69999999999999</v>
      </c>
      <c r="AD176">
        <v>128.1</v>
      </c>
      <c r="AE176" s="3">
        <f t="shared" si="11"/>
        <v>132.78</v>
      </c>
      <c r="AF176" s="3">
        <v>141.5</v>
      </c>
      <c r="AG176" s="3">
        <v>131.69999999999999</v>
      </c>
      <c r="AH176">
        <v>140</v>
      </c>
    </row>
    <row r="177" spans="1:34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 s="3">
        <f t="shared" si="8"/>
        <v>138.2076923076923</v>
      </c>
      <c r="R177" s="3">
        <v>156.19999999999999</v>
      </c>
      <c r="S177">
        <v>135</v>
      </c>
      <c r="T177">
        <v>125.4</v>
      </c>
      <c r="U177">
        <v>133.5</v>
      </c>
      <c r="V177" s="3">
        <f t="shared" si="9"/>
        <v>131.29999999999998</v>
      </c>
      <c r="W177">
        <v>138.6</v>
      </c>
      <c r="X177" s="3">
        <f t="shared" si="10"/>
        <v>138.6</v>
      </c>
      <c r="Y177" s="3">
        <v>127.4</v>
      </c>
      <c r="Z177">
        <v>125.7</v>
      </c>
      <c r="AA177">
        <v>128.80000000000001</v>
      </c>
      <c r="AB177">
        <v>115.3</v>
      </c>
      <c r="AC177">
        <v>125.1</v>
      </c>
      <c r="AD177">
        <v>124.9</v>
      </c>
      <c r="AE177" s="3">
        <f t="shared" si="11"/>
        <v>123.96</v>
      </c>
      <c r="AF177" s="3">
        <v>136.6</v>
      </c>
      <c r="AG177" s="3">
        <v>124.9</v>
      </c>
      <c r="AH177">
        <v>134.80000000000001</v>
      </c>
    </row>
    <row r="178" spans="1:34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 s="3">
        <f t="shared" si="8"/>
        <v>139.09230769230768</v>
      </c>
      <c r="R178" s="3">
        <v>153.19999999999999</v>
      </c>
      <c r="S178">
        <v>143</v>
      </c>
      <c r="T178">
        <v>134.80000000000001</v>
      </c>
      <c r="U178">
        <v>141.80000000000001</v>
      </c>
      <c r="V178" s="3">
        <f t="shared" si="9"/>
        <v>139.86666666666667</v>
      </c>
      <c r="W178">
        <v>138.6</v>
      </c>
      <c r="X178" s="3">
        <f t="shared" si="10"/>
        <v>138.6</v>
      </c>
      <c r="Y178" s="3">
        <v>132.6</v>
      </c>
      <c r="Z178">
        <v>135.30000000000001</v>
      </c>
      <c r="AA178">
        <v>134.4</v>
      </c>
      <c r="AB178">
        <v>118.3</v>
      </c>
      <c r="AC178">
        <v>128.9</v>
      </c>
      <c r="AD178">
        <v>126.8</v>
      </c>
      <c r="AE178" s="3">
        <f t="shared" si="11"/>
        <v>128.74</v>
      </c>
      <c r="AF178" s="3">
        <v>138.6</v>
      </c>
      <c r="AG178" s="3">
        <v>128.4</v>
      </c>
      <c r="AH178">
        <v>137.6</v>
      </c>
    </row>
    <row r="179" spans="1:34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 s="3">
        <f t="shared" si="8"/>
        <v>139.50769230769231</v>
      </c>
      <c r="R179" s="3">
        <v>153.19999999999999</v>
      </c>
      <c r="S179">
        <v>148</v>
      </c>
      <c r="T179">
        <v>141.9</v>
      </c>
      <c r="U179">
        <v>147.19999999999999</v>
      </c>
      <c r="V179" s="3">
        <f t="shared" si="9"/>
        <v>145.69999999999999</v>
      </c>
      <c r="W179" t="s">
        <v>32</v>
      </c>
      <c r="X179" s="3">
        <f t="shared" si="10"/>
        <v>139.1</v>
      </c>
      <c r="Y179" s="3">
        <v>136.1</v>
      </c>
      <c r="Z179">
        <v>142.6</v>
      </c>
      <c r="AA179">
        <v>139.5</v>
      </c>
      <c r="AB179">
        <v>122</v>
      </c>
      <c r="AC179">
        <v>133.4</v>
      </c>
      <c r="AD179">
        <v>127.8</v>
      </c>
      <c r="AE179" s="3">
        <f t="shared" si="11"/>
        <v>133.06</v>
      </c>
      <c r="AF179" s="3">
        <v>141.1</v>
      </c>
      <c r="AG179" s="3">
        <v>131.9</v>
      </c>
      <c r="AH179">
        <v>139.80000000000001</v>
      </c>
    </row>
    <row r="180" spans="1:34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 s="3">
        <f t="shared" si="8"/>
        <v>135.96153846153845</v>
      </c>
      <c r="R180" s="3">
        <v>157</v>
      </c>
      <c r="S180">
        <v>135.6</v>
      </c>
      <c r="T180">
        <v>125.6</v>
      </c>
      <c r="U180">
        <v>134</v>
      </c>
      <c r="V180" s="3">
        <f t="shared" si="9"/>
        <v>131.73333333333332</v>
      </c>
      <c r="W180">
        <v>139.1</v>
      </c>
      <c r="X180" s="3">
        <f t="shared" si="10"/>
        <v>139.1</v>
      </c>
      <c r="Y180" s="3">
        <v>128.19999999999999</v>
      </c>
      <c r="Z180">
        <v>126.8</v>
      </c>
      <c r="AA180">
        <v>129.30000000000001</v>
      </c>
      <c r="AB180">
        <v>115.3</v>
      </c>
      <c r="AC180">
        <v>125.6</v>
      </c>
      <c r="AD180">
        <v>124.6</v>
      </c>
      <c r="AE180" s="3">
        <f t="shared" si="11"/>
        <v>124.32000000000001</v>
      </c>
      <c r="AF180" s="3">
        <v>136.69999999999999</v>
      </c>
      <c r="AG180" s="3">
        <v>125.1</v>
      </c>
      <c r="AH180">
        <v>134.1</v>
      </c>
    </row>
    <row r="181" spans="1:34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 s="3">
        <f t="shared" si="8"/>
        <v>138.07692307692307</v>
      </c>
      <c r="R181" s="3">
        <v>154.19999999999999</v>
      </c>
      <c r="S181">
        <v>143.1</v>
      </c>
      <c r="T181">
        <v>135.1</v>
      </c>
      <c r="U181">
        <v>142</v>
      </c>
      <c r="V181" s="3">
        <f t="shared" si="9"/>
        <v>140.06666666666666</v>
      </c>
      <c r="W181">
        <v>139.1</v>
      </c>
      <c r="X181" s="3">
        <f t="shared" si="10"/>
        <v>139.1</v>
      </c>
      <c r="Y181" s="3">
        <v>133.1</v>
      </c>
      <c r="Z181">
        <v>136.6</v>
      </c>
      <c r="AA181">
        <v>134.69999999999999</v>
      </c>
      <c r="AB181">
        <v>118.5</v>
      </c>
      <c r="AC181">
        <v>129</v>
      </c>
      <c r="AD181">
        <v>126.5</v>
      </c>
      <c r="AE181" s="3">
        <f t="shared" si="11"/>
        <v>129.06</v>
      </c>
      <c r="AF181" s="3">
        <v>138.5</v>
      </c>
      <c r="AG181" s="3">
        <v>128.6</v>
      </c>
      <c r="AH181">
        <v>137.19999999999999</v>
      </c>
    </row>
    <row r="182" spans="1:34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 s="3">
        <f t="shared" si="8"/>
        <v>138.51538461538462</v>
      </c>
      <c r="R182" s="3">
        <v>153.6</v>
      </c>
      <c r="S182">
        <v>148.30000000000001</v>
      </c>
      <c r="T182">
        <v>142.30000000000001</v>
      </c>
      <c r="U182">
        <v>147.5</v>
      </c>
      <c r="V182" s="3">
        <f t="shared" si="9"/>
        <v>146.03333333333333</v>
      </c>
      <c r="W182" t="s">
        <v>32</v>
      </c>
      <c r="X182" s="3">
        <f t="shared" si="10"/>
        <v>140.4</v>
      </c>
      <c r="Y182" s="3">
        <v>136</v>
      </c>
      <c r="Z182">
        <v>142.30000000000001</v>
      </c>
      <c r="AA182">
        <v>139.80000000000001</v>
      </c>
      <c r="AB182">
        <v>122.7</v>
      </c>
      <c r="AC182">
        <v>134.30000000000001</v>
      </c>
      <c r="AD182">
        <v>128.6</v>
      </c>
      <c r="AE182" s="3">
        <f t="shared" si="11"/>
        <v>133.54000000000002</v>
      </c>
      <c r="AF182" s="3">
        <v>141.6</v>
      </c>
      <c r="AG182" s="3">
        <v>132.30000000000001</v>
      </c>
      <c r="AH182">
        <v>139.30000000000001</v>
      </c>
    </row>
    <row r="183" spans="1:34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 s="3">
        <f t="shared" si="8"/>
        <v>134.48461538461541</v>
      </c>
      <c r="R183" s="3">
        <v>157.69999999999999</v>
      </c>
      <c r="S183">
        <v>136</v>
      </c>
      <c r="T183">
        <v>125.9</v>
      </c>
      <c r="U183">
        <v>134.4</v>
      </c>
      <c r="V183" s="3">
        <f t="shared" si="9"/>
        <v>132.1</v>
      </c>
      <c r="W183">
        <v>140.4</v>
      </c>
      <c r="X183" s="3">
        <f t="shared" si="10"/>
        <v>140.4</v>
      </c>
      <c r="Y183" s="3">
        <v>129</v>
      </c>
      <c r="Z183">
        <v>127.3</v>
      </c>
      <c r="AA183">
        <v>129.5</v>
      </c>
      <c r="AB183">
        <v>116.3</v>
      </c>
      <c r="AC183">
        <v>126.2</v>
      </c>
      <c r="AD183">
        <v>125.5</v>
      </c>
      <c r="AE183" s="3">
        <f t="shared" si="11"/>
        <v>124.96</v>
      </c>
      <c r="AF183" s="3">
        <v>137.1</v>
      </c>
      <c r="AG183" s="3">
        <v>125.8</v>
      </c>
      <c r="AH183">
        <v>134.1</v>
      </c>
    </row>
    <row r="184" spans="1:34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 s="3">
        <f t="shared" si="8"/>
        <v>136.91538461538462</v>
      </c>
      <c r="R184" s="3">
        <v>154.69999999999999</v>
      </c>
      <c r="S184">
        <v>143.5</v>
      </c>
      <c r="T184">
        <v>135.5</v>
      </c>
      <c r="U184">
        <v>142.30000000000001</v>
      </c>
      <c r="V184" s="3">
        <f t="shared" si="9"/>
        <v>140.43333333333334</v>
      </c>
      <c r="W184">
        <v>140.4</v>
      </c>
      <c r="X184" s="3">
        <f t="shared" si="10"/>
        <v>140.4</v>
      </c>
      <c r="Y184" s="3">
        <v>133.30000000000001</v>
      </c>
      <c r="Z184">
        <v>136.6</v>
      </c>
      <c r="AA184">
        <v>134.9</v>
      </c>
      <c r="AB184">
        <v>119.3</v>
      </c>
      <c r="AC184">
        <v>129.69999999999999</v>
      </c>
      <c r="AD184">
        <v>127.3</v>
      </c>
      <c r="AE184" s="3">
        <f t="shared" si="11"/>
        <v>129.56</v>
      </c>
      <c r="AF184" s="3">
        <v>139</v>
      </c>
      <c r="AG184" s="3">
        <v>129.1</v>
      </c>
      <c r="AH184">
        <v>136.9</v>
      </c>
    </row>
    <row r="185" spans="1:34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 s="3">
        <f t="shared" si="8"/>
        <v>137.03846153846155</v>
      </c>
      <c r="R185" s="3">
        <v>153.30000000000001</v>
      </c>
      <c r="S185">
        <v>148.69999999999999</v>
      </c>
      <c r="T185">
        <v>142.4</v>
      </c>
      <c r="U185">
        <v>147.80000000000001</v>
      </c>
      <c r="V185" s="3">
        <f t="shared" si="9"/>
        <v>146.30000000000001</v>
      </c>
      <c r="W185" t="s">
        <v>32</v>
      </c>
      <c r="X185" s="3">
        <f t="shared" si="10"/>
        <v>141.30000000000001</v>
      </c>
      <c r="Y185" s="3">
        <v>136.19999999999999</v>
      </c>
      <c r="Z185">
        <v>142.4</v>
      </c>
      <c r="AA185">
        <v>139.9</v>
      </c>
      <c r="AB185">
        <v>123.3</v>
      </c>
      <c r="AC185">
        <v>134.30000000000001</v>
      </c>
      <c r="AD185">
        <v>128.80000000000001</v>
      </c>
      <c r="AE185" s="3">
        <f t="shared" si="11"/>
        <v>133.74</v>
      </c>
      <c r="AF185" s="3">
        <v>141.5</v>
      </c>
      <c r="AG185" s="3">
        <v>132.5</v>
      </c>
      <c r="AH185">
        <v>138.5</v>
      </c>
    </row>
    <row r="186" spans="1:34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 s="3">
        <f t="shared" si="8"/>
        <v>132.91538461538462</v>
      </c>
      <c r="R186" s="3">
        <v>159.30000000000001</v>
      </c>
      <c r="S186">
        <v>136.30000000000001</v>
      </c>
      <c r="T186">
        <v>126.1</v>
      </c>
      <c r="U186">
        <v>134.69999999999999</v>
      </c>
      <c r="V186" s="3">
        <f t="shared" si="9"/>
        <v>132.36666666666665</v>
      </c>
      <c r="W186">
        <v>141.30000000000001</v>
      </c>
      <c r="X186" s="3">
        <f t="shared" si="10"/>
        <v>141.30000000000001</v>
      </c>
      <c r="Y186" s="3">
        <v>129.80000000000001</v>
      </c>
      <c r="Z186">
        <v>127.3</v>
      </c>
      <c r="AA186">
        <v>129.9</v>
      </c>
      <c r="AB186">
        <v>117.4</v>
      </c>
      <c r="AC186">
        <v>126.5</v>
      </c>
      <c r="AD186">
        <v>126.2</v>
      </c>
      <c r="AE186" s="3">
        <f t="shared" si="11"/>
        <v>125.46000000000001</v>
      </c>
      <c r="AF186" s="3">
        <v>137.19999999999999</v>
      </c>
      <c r="AG186" s="3">
        <v>126.5</v>
      </c>
      <c r="AH186">
        <v>134</v>
      </c>
    </row>
    <row r="187" spans="1:34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 s="3">
        <f t="shared" si="8"/>
        <v>135.4153846153846</v>
      </c>
      <c r="R187" s="3">
        <v>154.9</v>
      </c>
      <c r="S187">
        <v>143.80000000000001</v>
      </c>
      <c r="T187">
        <v>135.6</v>
      </c>
      <c r="U187">
        <v>142.6</v>
      </c>
      <c r="V187" s="3">
        <f t="shared" si="9"/>
        <v>140.66666666666666</v>
      </c>
      <c r="W187">
        <v>141.30000000000001</v>
      </c>
      <c r="X187" s="3">
        <f t="shared" si="10"/>
        <v>141.30000000000001</v>
      </c>
      <c r="Y187" s="3">
        <v>133.80000000000001</v>
      </c>
      <c r="Z187">
        <v>136.69999999999999</v>
      </c>
      <c r="AA187">
        <v>135.19999999999999</v>
      </c>
      <c r="AB187">
        <v>120.2</v>
      </c>
      <c r="AC187">
        <v>129.9</v>
      </c>
      <c r="AD187">
        <v>127.7</v>
      </c>
      <c r="AE187" s="3">
        <f t="shared" si="11"/>
        <v>129.94</v>
      </c>
      <c r="AF187" s="3">
        <v>139</v>
      </c>
      <c r="AG187" s="3">
        <v>129.6</v>
      </c>
      <c r="AH187">
        <v>136.4</v>
      </c>
    </row>
    <row r="188" spans="1:34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 s="3">
        <f t="shared" si="8"/>
        <v>137.07692307692307</v>
      </c>
      <c r="R188" s="3">
        <v>155.1</v>
      </c>
      <c r="S188">
        <v>149.19999999999999</v>
      </c>
      <c r="T188">
        <v>143</v>
      </c>
      <c r="U188">
        <v>148.30000000000001</v>
      </c>
      <c r="V188" s="3">
        <f t="shared" si="9"/>
        <v>146.83333333333334</v>
      </c>
      <c r="W188" t="s">
        <v>32</v>
      </c>
      <c r="X188" s="3">
        <f t="shared" si="10"/>
        <v>142</v>
      </c>
      <c r="Y188" s="3">
        <v>136.69999999999999</v>
      </c>
      <c r="Z188">
        <v>142.6</v>
      </c>
      <c r="AA188">
        <v>139.9</v>
      </c>
      <c r="AB188">
        <v>124.6</v>
      </c>
      <c r="AC188">
        <v>135.1</v>
      </c>
      <c r="AD188">
        <v>129.30000000000001</v>
      </c>
      <c r="AE188" s="3">
        <f t="shared" si="11"/>
        <v>134.30000000000001</v>
      </c>
      <c r="AF188" s="3">
        <v>142.69999999999999</v>
      </c>
      <c r="AG188" s="3">
        <v>133.30000000000001</v>
      </c>
      <c r="AH188">
        <v>138.69999999999999</v>
      </c>
    </row>
    <row r="189" spans="1:34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 s="3">
        <f t="shared" si="8"/>
        <v>131.96153846153845</v>
      </c>
      <c r="R189" s="3">
        <v>159.69999999999999</v>
      </c>
      <c r="S189">
        <v>136.69999999999999</v>
      </c>
      <c r="T189">
        <v>126.7</v>
      </c>
      <c r="U189">
        <v>135.19999999999999</v>
      </c>
      <c r="V189" s="3">
        <f t="shared" si="9"/>
        <v>132.86666666666665</v>
      </c>
      <c r="W189">
        <v>142</v>
      </c>
      <c r="X189" s="3">
        <f t="shared" si="10"/>
        <v>142</v>
      </c>
      <c r="Y189" s="3">
        <v>130.5</v>
      </c>
      <c r="Z189">
        <v>126.4</v>
      </c>
      <c r="AA189">
        <v>130.80000000000001</v>
      </c>
      <c r="AB189">
        <v>117.8</v>
      </c>
      <c r="AC189">
        <v>126.8</v>
      </c>
      <c r="AD189">
        <v>126.7</v>
      </c>
      <c r="AE189" s="3">
        <f t="shared" si="11"/>
        <v>125.70000000000002</v>
      </c>
      <c r="AF189" s="3">
        <v>137.80000000000001</v>
      </c>
      <c r="AG189" s="3">
        <v>127.1</v>
      </c>
      <c r="AH189">
        <v>134</v>
      </c>
    </row>
    <row r="190" spans="1:34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 s="3">
        <f t="shared" si="8"/>
        <v>135.07692307692307</v>
      </c>
      <c r="R190" s="3">
        <v>156.30000000000001</v>
      </c>
      <c r="S190">
        <v>144.30000000000001</v>
      </c>
      <c r="T190">
        <v>136.19999999999999</v>
      </c>
      <c r="U190">
        <v>143.1</v>
      </c>
      <c r="V190" s="3">
        <f t="shared" si="9"/>
        <v>141.20000000000002</v>
      </c>
      <c r="W190">
        <v>142</v>
      </c>
      <c r="X190" s="3">
        <f t="shared" si="10"/>
        <v>142</v>
      </c>
      <c r="Y190" s="3">
        <v>134.30000000000001</v>
      </c>
      <c r="Z190">
        <v>136.5</v>
      </c>
      <c r="AA190">
        <v>135.6</v>
      </c>
      <c r="AB190">
        <v>121</v>
      </c>
      <c r="AC190">
        <v>130.4</v>
      </c>
      <c r="AD190">
        <v>128.19999999999999</v>
      </c>
      <c r="AE190" s="3">
        <f t="shared" si="11"/>
        <v>130.34</v>
      </c>
      <c r="AF190" s="3">
        <v>139.80000000000001</v>
      </c>
      <c r="AG190" s="3">
        <v>130.30000000000001</v>
      </c>
      <c r="AH190">
        <v>136.5</v>
      </c>
    </row>
    <row r="191" spans="1:34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 s="3">
        <f t="shared" si="8"/>
        <v>136.92307692307693</v>
      </c>
      <c r="R191" s="3">
        <v>156.1</v>
      </c>
      <c r="S191">
        <v>150.1</v>
      </c>
      <c r="T191">
        <v>143.30000000000001</v>
      </c>
      <c r="U191">
        <v>149.1</v>
      </c>
      <c r="V191" s="3">
        <f t="shared" si="9"/>
        <v>147.5</v>
      </c>
      <c r="W191" t="s">
        <v>32</v>
      </c>
      <c r="X191" s="3">
        <f t="shared" si="10"/>
        <v>142.9</v>
      </c>
      <c r="Y191" s="3">
        <v>137.6</v>
      </c>
      <c r="Z191">
        <v>143.80000000000001</v>
      </c>
      <c r="AA191">
        <v>140.9</v>
      </c>
      <c r="AB191">
        <v>125.3</v>
      </c>
      <c r="AC191">
        <v>136</v>
      </c>
      <c r="AD191">
        <v>130.4</v>
      </c>
      <c r="AE191" s="3">
        <f t="shared" si="11"/>
        <v>135.28</v>
      </c>
      <c r="AF191" s="3">
        <v>143.69999999999999</v>
      </c>
      <c r="AG191" s="3">
        <v>134.19999999999999</v>
      </c>
      <c r="AH191">
        <v>139.1</v>
      </c>
    </row>
    <row r="192" spans="1:34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 s="3">
        <f t="shared" si="8"/>
        <v>132.30769230769232</v>
      </c>
      <c r="R192" s="3">
        <v>159.19999999999999</v>
      </c>
      <c r="S192">
        <v>137.80000000000001</v>
      </c>
      <c r="T192">
        <v>127.4</v>
      </c>
      <c r="U192">
        <v>136.19999999999999</v>
      </c>
      <c r="V192" s="3">
        <f t="shared" si="9"/>
        <v>133.80000000000001</v>
      </c>
      <c r="W192">
        <v>142.9</v>
      </c>
      <c r="X192" s="3">
        <f t="shared" si="10"/>
        <v>142.9</v>
      </c>
      <c r="Y192" s="3">
        <v>131.30000000000001</v>
      </c>
      <c r="Z192">
        <v>124.6</v>
      </c>
      <c r="AA192">
        <v>131.80000000000001</v>
      </c>
      <c r="AB192">
        <v>118.9</v>
      </c>
      <c r="AC192">
        <v>127.6</v>
      </c>
      <c r="AD192">
        <v>127.6</v>
      </c>
      <c r="AE192" s="3">
        <f t="shared" si="11"/>
        <v>126.1</v>
      </c>
      <c r="AF192" s="3">
        <v>139.69999999999999</v>
      </c>
      <c r="AG192" s="3">
        <v>128.19999999999999</v>
      </c>
      <c r="AH192">
        <v>134.80000000000001</v>
      </c>
    </row>
    <row r="193" spans="1:34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 s="3">
        <f t="shared" si="8"/>
        <v>135.16153846153847</v>
      </c>
      <c r="R193" s="3">
        <v>156.9</v>
      </c>
      <c r="S193">
        <v>145.30000000000001</v>
      </c>
      <c r="T193">
        <v>136.69999999999999</v>
      </c>
      <c r="U193">
        <v>144</v>
      </c>
      <c r="V193" s="3">
        <f t="shared" si="9"/>
        <v>142</v>
      </c>
      <c r="W193">
        <v>142.9</v>
      </c>
      <c r="X193" s="3">
        <f t="shared" si="10"/>
        <v>142.9</v>
      </c>
      <c r="Y193" s="3">
        <v>135.19999999999999</v>
      </c>
      <c r="Z193">
        <v>136.5</v>
      </c>
      <c r="AA193">
        <v>136.6</v>
      </c>
      <c r="AB193">
        <v>121.9</v>
      </c>
      <c r="AC193">
        <v>131.30000000000001</v>
      </c>
      <c r="AD193">
        <v>129.19999999999999</v>
      </c>
      <c r="AE193" s="3">
        <f t="shared" si="11"/>
        <v>131.1</v>
      </c>
      <c r="AF193" s="3">
        <v>141.4</v>
      </c>
      <c r="AG193" s="3">
        <v>131.30000000000001</v>
      </c>
      <c r="AH193">
        <v>137.1</v>
      </c>
    </row>
    <row r="194" spans="1:34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 s="3">
        <f t="shared" si="8"/>
        <v>137.1076923076923</v>
      </c>
      <c r="R194" s="3">
        <v>157</v>
      </c>
      <c r="S194">
        <v>150.80000000000001</v>
      </c>
      <c r="T194">
        <v>144.1</v>
      </c>
      <c r="U194">
        <v>149.80000000000001</v>
      </c>
      <c r="V194" s="3">
        <f t="shared" si="9"/>
        <v>148.23333333333332</v>
      </c>
      <c r="W194" t="s">
        <v>32</v>
      </c>
      <c r="X194" s="3">
        <f t="shared" si="10"/>
        <v>143.19999999999999</v>
      </c>
      <c r="Y194" s="3">
        <v>138.4</v>
      </c>
      <c r="Z194">
        <v>144.30000000000001</v>
      </c>
      <c r="AA194">
        <v>141.80000000000001</v>
      </c>
      <c r="AB194">
        <v>126.4</v>
      </c>
      <c r="AC194">
        <v>136.80000000000001</v>
      </c>
      <c r="AD194">
        <v>131.19999999999999</v>
      </c>
      <c r="AE194" s="3">
        <f t="shared" si="11"/>
        <v>136.1</v>
      </c>
      <c r="AF194" s="3">
        <v>144.4</v>
      </c>
      <c r="AG194" s="3">
        <v>135.1</v>
      </c>
      <c r="AH194">
        <v>139.80000000000001</v>
      </c>
    </row>
    <row r="195" spans="1:34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 s="3">
        <f t="shared" ref="Q195:Q261" si="12">AVERAGE(D195:P195)</f>
        <v>132.53076923076921</v>
      </c>
      <c r="R195" s="3">
        <v>160.30000000000001</v>
      </c>
      <c r="S195">
        <v>138.6</v>
      </c>
      <c r="T195">
        <v>127.9</v>
      </c>
      <c r="U195">
        <v>137</v>
      </c>
      <c r="V195" s="3">
        <f t="shared" ref="V195:V261" si="13">AVERAGE(S195:U195)</f>
        <v>134.5</v>
      </c>
      <c r="W195">
        <v>143.19999999999999</v>
      </c>
      <c r="X195" s="3">
        <f t="shared" ref="X195:X261" si="14">IF(W195="NA",W196,W195)</f>
        <v>143.19999999999999</v>
      </c>
      <c r="Y195" s="3">
        <v>132</v>
      </c>
      <c r="Z195">
        <v>124.7</v>
      </c>
      <c r="AA195">
        <v>132.5</v>
      </c>
      <c r="AB195">
        <v>119.8</v>
      </c>
      <c r="AC195">
        <v>128</v>
      </c>
      <c r="AD195">
        <v>128.1</v>
      </c>
      <c r="AE195" s="3">
        <f t="shared" ref="AE195:AE261" si="15">AVERAGE(Z195:AD195)</f>
        <v>126.62</v>
      </c>
      <c r="AF195" s="3">
        <v>140.4</v>
      </c>
      <c r="AG195" s="3">
        <v>128.9</v>
      </c>
      <c r="AH195">
        <v>135.4</v>
      </c>
    </row>
    <row r="196" spans="1:34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 s="3">
        <f t="shared" si="12"/>
        <v>135.36923076923077</v>
      </c>
      <c r="R196" s="3">
        <v>157.9</v>
      </c>
      <c r="S196">
        <v>146</v>
      </c>
      <c r="T196">
        <v>137.4</v>
      </c>
      <c r="U196">
        <v>144.69999999999999</v>
      </c>
      <c r="V196" s="3">
        <f t="shared" si="13"/>
        <v>142.69999999999999</v>
      </c>
      <c r="W196">
        <v>143.19999999999999</v>
      </c>
      <c r="X196" s="3">
        <f t="shared" si="14"/>
        <v>143.19999999999999</v>
      </c>
      <c r="Y196" s="3">
        <v>136</v>
      </c>
      <c r="Z196">
        <v>136.9</v>
      </c>
      <c r="AA196">
        <v>137.4</v>
      </c>
      <c r="AB196">
        <v>122.9</v>
      </c>
      <c r="AC196">
        <v>131.80000000000001</v>
      </c>
      <c r="AD196">
        <v>129.9</v>
      </c>
      <c r="AE196" s="3">
        <f t="shared" si="15"/>
        <v>131.78</v>
      </c>
      <c r="AF196" s="3">
        <v>142.1</v>
      </c>
      <c r="AG196" s="3">
        <v>132.1</v>
      </c>
      <c r="AH196">
        <v>137.80000000000001</v>
      </c>
    </row>
    <row r="197" spans="1:34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 s="3">
        <f t="shared" si="12"/>
        <v>137.71538461538461</v>
      </c>
      <c r="R197" s="3">
        <v>157.30000000000001</v>
      </c>
      <c r="S197">
        <v>151.30000000000001</v>
      </c>
      <c r="T197">
        <v>144.69999999999999</v>
      </c>
      <c r="U197">
        <v>150.30000000000001</v>
      </c>
      <c r="V197" s="3">
        <f t="shared" si="13"/>
        <v>148.76666666666668</v>
      </c>
      <c r="W197" t="s">
        <v>32</v>
      </c>
      <c r="X197" s="3">
        <f t="shared" si="14"/>
        <v>142.5</v>
      </c>
      <c r="Y197" s="3">
        <v>138.4</v>
      </c>
      <c r="Z197">
        <v>145.1</v>
      </c>
      <c r="AA197">
        <v>142.19999999999999</v>
      </c>
      <c r="AB197">
        <v>127.4</v>
      </c>
      <c r="AC197">
        <v>137.80000000000001</v>
      </c>
      <c r="AD197">
        <v>131.4</v>
      </c>
      <c r="AE197" s="3">
        <f t="shared" si="15"/>
        <v>136.78</v>
      </c>
      <c r="AF197" s="3">
        <v>145.1</v>
      </c>
      <c r="AG197" s="3">
        <v>135.6</v>
      </c>
      <c r="AH197">
        <v>140.5</v>
      </c>
    </row>
    <row r="198" spans="1:34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 s="3">
        <f t="shared" si="12"/>
        <v>134.40769230769232</v>
      </c>
      <c r="R198" s="3">
        <v>161</v>
      </c>
      <c r="S198">
        <v>138.9</v>
      </c>
      <c r="T198">
        <v>128.69999999999999</v>
      </c>
      <c r="U198">
        <v>137.4</v>
      </c>
      <c r="V198" s="3">
        <f t="shared" si="13"/>
        <v>135</v>
      </c>
      <c r="W198">
        <v>142.5</v>
      </c>
      <c r="X198" s="3">
        <f t="shared" si="14"/>
        <v>142.5</v>
      </c>
      <c r="Y198" s="3">
        <v>132.6</v>
      </c>
      <c r="Z198">
        <v>126.5</v>
      </c>
      <c r="AA198">
        <v>133.1</v>
      </c>
      <c r="AB198">
        <v>120.4</v>
      </c>
      <c r="AC198">
        <v>128.5</v>
      </c>
      <c r="AD198">
        <v>128.19999999999999</v>
      </c>
      <c r="AE198" s="3">
        <f t="shared" si="15"/>
        <v>127.34</v>
      </c>
      <c r="AF198" s="3">
        <v>141.19999999999999</v>
      </c>
      <c r="AG198" s="3">
        <v>129.5</v>
      </c>
      <c r="AH198">
        <v>136.19999999999999</v>
      </c>
    </row>
    <row r="199" spans="1:34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 s="3">
        <f t="shared" si="12"/>
        <v>136.46923076923079</v>
      </c>
      <c r="R199" s="3">
        <v>158.30000000000001</v>
      </c>
      <c r="S199">
        <v>146.4</v>
      </c>
      <c r="T199">
        <v>138.1</v>
      </c>
      <c r="U199">
        <v>145.19999999999999</v>
      </c>
      <c r="V199" s="3">
        <f t="shared" si="13"/>
        <v>143.23333333333332</v>
      </c>
      <c r="W199">
        <v>142.5</v>
      </c>
      <c r="X199" s="3">
        <f t="shared" si="14"/>
        <v>142.5</v>
      </c>
      <c r="Y199" s="3">
        <v>136.19999999999999</v>
      </c>
      <c r="Z199">
        <v>138.1</v>
      </c>
      <c r="AA199">
        <v>137.9</v>
      </c>
      <c r="AB199">
        <v>123.7</v>
      </c>
      <c r="AC199">
        <v>132.6</v>
      </c>
      <c r="AD199">
        <v>130.1</v>
      </c>
      <c r="AE199" s="3">
        <f t="shared" si="15"/>
        <v>132.47999999999999</v>
      </c>
      <c r="AF199" s="3">
        <v>142.80000000000001</v>
      </c>
      <c r="AG199" s="3">
        <v>132.6</v>
      </c>
      <c r="AH199">
        <v>138.5</v>
      </c>
    </row>
    <row r="200" spans="1:34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 s="3">
        <f t="shared" si="12"/>
        <v>139.26923076923077</v>
      </c>
      <c r="R200" s="3">
        <v>156.1</v>
      </c>
      <c r="S200">
        <v>151.5</v>
      </c>
      <c r="T200">
        <v>145.1</v>
      </c>
      <c r="U200">
        <v>150.6</v>
      </c>
      <c r="V200" s="3">
        <f t="shared" si="13"/>
        <v>149.06666666666669</v>
      </c>
      <c r="W200" t="s">
        <v>32</v>
      </c>
      <c r="X200" s="3">
        <f t="shared" si="14"/>
        <v>143.6</v>
      </c>
      <c r="Y200" s="3">
        <v>139</v>
      </c>
      <c r="Z200">
        <v>146.80000000000001</v>
      </c>
      <c r="AA200">
        <v>143.1</v>
      </c>
      <c r="AB200">
        <v>127.5</v>
      </c>
      <c r="AC200">
        <v>138.4</v>
      </c>
      <c r="AD200">
        <v>131.4</v>
      </c>
      <c r="AE200" s="3">
        <f t="shared" si="15"/>
        <v>137.44</v>
      </c>
      <c r="AF200" s="3">
        <v>145.80000000000001</v>
      </c>
      <c r="AG200" s="3">
        <v>136</v>
      </c>
      <c r="AH200">
        <v>141.80000000000001</v>
      </c>
    </row>
    <row r="201" spans="1:34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 s="3">
        <f t="shared" si="12"/>
        <v>136.23846153846154</v>
      </c>
      <c r="R201" s="3">
        <v>161.4</v>
      </c>
      <c r="S201">
        <v>139.6</v>
      </c>
      <c r="T201">
        <v>128.9</v>
      </c>
      <c r="U201">
        <v>137.9</v>
      </c>
      <c r="V201" s="3">
        <f t="shared" si="13"/>
        <v>135.46666666666667</v>
      </c>
      <c r="W201">
        <v>143.6</v>
      </c>
      <c r="X201" s="3">
        <f t="shared" si="14"/>
        <v>143.6</v>
      </c>
      <c r="Y201" s="3">
        <v>133.6</v>
      </c>
      <c r="Z201">
        <v>128.1</v>
      </c>
      <c r="AA201">
        <v>133.6</v>
      </c>
      <c r="AB201">
        <v>120.1</v>
      </c>
      <c r="AC201">
        <v>129</v>
      </c>
      <c r="AD201">
        <v>128.19999999999999</v>
      </c>
      <c r="AE201" s="3">
        <f t="shared" si="15"/>
        <v>127.8</v>
      </c>
      <c r="AF201" s="3">
        <v>144</v>
      </c>
      <c r="AG201" s="3">
        <v>130.19999999999999</v>
      </c>
      <c r="AH201">
        <v>137.5</v>
      </c>
    </row>
    <row r="202" spans="1:34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 s="3">
        <f t="shared" si="12"/>
        <v>138.1</v>
      </c>
      <c r="R202" s="3">
        <v>157.5</v>
      </c>
      <c r="S202">
        <v>146.80000000000001</v>
      </c>
      <c r="T202">
        <v>138.4</v>
      </c>
      <c r="U202">
        <v>145.6</v>
      </c>
      <c r="V202" s="3">
        <f t="shared" si="13"/>
        <v>143.60000000000002</v>
      </c>
      <c r="W202">
        <v>143.6</v>
      </c>
      <c r="X202" s="3">
        <f t="shared" si="14"/>
        <v>143.6</v>
      </c>
      <c r="Y202" s="3">
        <v>137</v>
      </c>
      <c r="Z202">
        <v>139.69999999999999</v>
      </c>
      <c r="AA202">
        <v>138.6</v>
      </c>
      <c r="AB202">
        <v>123.6</v>
      </c>
      <c r="AC202">
        <v>133.1</v>
      </c>
      <c r="AD202">
        <v>130.1</v>
      </c>
      <c r="AE202" s="3">
        <f t="shared" si="15"/>
        <v>133.02000000000001</v>
      </c>
      <c r="AF202" s="3">
        <v>144.69999999999999</v>
      </c>
      <c r="AG202" s="3">
        <v>133.19999999999999</v>
      </c>
      <c r="AH202">
        <v>139.80000000000001</v>
      </c>
    </row>
    <row r="203" spans="1:34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 s="3">
        <f t="shared" si="12"/>
        <v>139.90769230769232</v>
      </c>
      <c r="R203" s="3">
        <v>156.4</v>
      </c>
      <c r="S203">
        <v>152.1</v>
      </c>
      <c r="T203">
        <v>145.80000000000001</v>
      </c>
      <c r="U203">
        <v>151.30000000000001</v>
      </c>
      <c r="V203" s="3">
        <f t="shared" si="13"/>
        <v>149.73333333333332</v>
      </c>
      <c r="W203" t="s">
        <v>32</v>
      </c>
      <c r="X203" s="3">
        <f t="shared" si="14"/>
        <v>144.6</v>
      </c>
      <c r="Y203" s="3">
        <v>139.4</v>
      </c>
      <c r="Z203">
        <v>147.69999999999999</v>
      </c>
      <c r="AA203">
        <v>143.80000000000001</v>
      </c>
      <c r="AB203">
        <v>128.30000000000001</v>
      </c>
      <c r="AC203">
        <v>138.6</v>
      </c>
      <c r="AD203">
        <v>131.30000000000001</v>
      </c>
      <c r="AE203" s="3">
        <f t="shared" si="15"/>
        <v>137.94</v>
      </c>
      <c r="AF203" s="3">
        <v>146.9</v>
      </c>
      <c r="AG203" s="3">
        <v>136.6</v>
      </c>
      <c r="AH203">
        <v>142.5</v>
      </c>
    </row>
    <row r="204" spans="1:34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 s="3">
        <f t="shared" si="12"/>
        <v>135.96923076923076</v>
      </c>
      <c r="R204" s="3">
        <v>162.1</v>
      </c>
      <c r="S204">
        <v>140</v>
      </c>
      <c r="T204">
        <v>129</v>
      </c>
      <c r="U204">
        <v>138.30000000000001</v>
      </c>
      <c r="V204" s="3">
        <f t="shared" si="13"/>
        <v>135.76666666666668</v>
      </c>
      <c r="W204">
        <v>144.6</v>
      </c>
      <c r="X204" s="3">
        <f t="shared" si="14"/>
        <v>144.6</v>
      </c>
      <c r="Y204" s="3">
        <v>134.9</v>
      </c>
      <c r="Z204">
        <v>129.80000000000001</v>
      </c>
      <c r="AA204">
        <v>134.4</v>
      </c>
      <c r="AB204">
        <v>120.7</v>
      </c>
      <c r="AC204">
        <v>129.80000000000001</v>
      </c>
      <c r="AD204">
        <v>128.30000000000001</v>
      </c>
      <c r="AE204" s="3">
        <f t="shared" si="15"/>
        <v>128.6</v>
      </c>
      <c r="AF204" s="3">
        <v>145.30000000000001</v>
      </c>
      <c r="AG204" s="3">
        <v>131</v>
      </c>
      <c r="AH204">
        <v>138</v>
      </c>
    </row>
    <row r="205" spans="1:34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 s="3">
        <f t="shared" si="12"/>
        <v>138.36153846153849</v>
      </c>
      <c r="R205" s="3">
        <v>157.9</v>
      </c>
      <c r="S205">
        <v>147.30000000000001</v>
      </c>
      <c r="T205">
        <v>138.80000000000001</v>
      </c>
      <c r="U205">
        <v>146.1</v>
      </c>
      <c r="V205" s="3">
        <f t="shared" si="13"/>
        <v>144.06666666666669</v>
      </c>
      <c r="W205">
        <v>144.6</v>
      </c>
      <c r="X205" s="3">
        <f t="shared" si="14"/>
        <v>144.6</v>
      </c>
      <c r="Y205" s="3">
        <v>137.69999999999999</v>
      </c>
      <c r="Z205">
        <v>140.9</v>
      </c>
      <c r="AA205">
        <v>139.4</v>
      </c>
      <c r="AB205">
        <v>124.3</v>
      </c>
      <c r="AC205">
        <v>133.6</v>
      </c>
      <c r="AD205">
        <v>130.1</v>
      </c>
      <c r="AE205" s="3">
        <f t="shared" si="15"/>
        <v>133.66000000000003</v>
      </c>
      <c r="AF205" s="3">
        <v>146</v>
      </c>
      <c r="AG205" s="3">
        <v>133.9</v>
      </c>
      <c r="AH205">
        <v>140.4</v>
      </c>
    </row>
    <row r="206" spans="1:34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 s="3">
        <f t="shared" si="12"/>
        <v>138.44615384615386</v>
      </c>
      <c r="R206" s="3">
        <v>157.69999999999999</v>
      </c>
      <c r="S206">
        <v>152.1</v>
      </c>
      <c r="T206">
        <v>146.1</v>
      </c>
      <c r="U206">
        <v>151.30000000000001</v>
      </c>
      <c r="V206" s="3">
        <f t="shared" si="13"/>
        <v>149.83333333333334</v>
      </c>
      <c r="W206" t="s">
        <v>32</v>
      </c>
      <c r="X206" s="3">
        <f t="shared" si="14"/>
        <v>145.30000000000001</v>
      </c>
      <c r="Y206" s="3">
        <v>140</v>
      </c>
      <c r="Z206">
        <v>149</v>
      </c>
      <c r="AA206">
        <v>144</v>
      </c>
      <c r="AB206">
        <v>129.9</v>
      </c>
      <c r="AC206">
        <v>140</v>
      </c>
      <c r="AD206">
        <v>132</v>
      </c>
      <c r="AE206" s="3">
        <f t="shared" si="15"/>
        <v>138.97999999999999</v>
      </c>
      <c r="AF206" s="3">
        <v>147.6</v>
      </c>
      <c r="AG206" s="3">
        <v>137.4</v>
      </c>
      <c r="AH206">
        <v>142.1</v>
      </c>
    </row>
    <row r="207" spans="1:34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 s="3">
        <f t="shared" si="12"/>
        <v>134.49230769230769</v>
      </c>
      <c r="R207" s="3">
        <v>163.30000000000001</v>
      </c>
      <c r="S207">
        <v>140.80000000000001</v>
      </c>
      <c r="T207">
        <v>129.30000000000001</v>
      </c>
      <c r="U207">
        <v>139.1</v>
      </c>
      <c r="V207" s="3">
        <f t="shared" si="13"/>
        <v>136.4</v>
      </c>
      <c r="W207">
        <v>145.30000000000001</v>
      </c>
      <c r="X207" s="3">
        <f t="shared" si="14"/>
        <v>145.30000000000001</v>
      </c>
      <c r="Y207" s="3">
        <v>135.69999999999999</v>
      </c>
      <c r="Z207">
        <v>131.19999999999999</v>
      </c>
      <c r="AA207">
        <v>134.9</v>
      </c>
      <c r="AB207">
        <v>122.5</v>
      </c>
      <c r="AC207">
        <v>130.19999999999999</v>
      </c>
      <c r="AD207">
        <v>129.30000000000001</v>
      </c>
      <c r="AE207" s="3">
        <f t="shared" si="15"/>
        <v>129.61999999999998</v>
      </c>
      <c r="AF207" s="3">
        <v>145.19999999999999</v>
      </c>
      <c r="AG207" s="3">
        <v>131.9</v>
      </c>
      <c r="AH207">
        <v>138.1</v>
      </c>
    </row>
    <row r="208" spans="1:34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 s="3">
        <f t="shared" si="12"/>
        <v>136.88461538461539</v>
      </c>
      <c r="R208" s="3">
        <v>159.19999999999999</v>
      </c>
      <c r="S208">
        <v>147.69999999999999</v>
      </c>
      <c r="T208">
        <v>139.1</v>
      </c>
      <c r="U208">
        <v>146.5</v>
      </c>
      <c r="V208" s="3">
        <f t="shared" si="13"/>
        <v>144.43333333333331</v>
      </c>
      <c r="W208">
        <v>145.30000000000001</v>
      </c>
      <c r="X208" s="3">
        <f t="shared" si="14"/>
        <v>145.30000000000001</v>
      </c>
      <c r="Y208" s="3">
        <v>138.4</v>
      </c>
      <c r="Z208">
        <v>142.30000000000001</v>
      </c>
      <c r="AA208">
        <v>139.69999999999999</v>
      </c>
      <c r="AB208">
        <v>126</v>
      </c>
      <c r="AC208">
        <v>134.5</v>
      </c>
      <c r="AD208">
        <v>130.9</v>
      </c>
      <c r="AE208" s="3">
        <f t="shared" si="15"/>
        <v>134.68</v>
      </c>
      <c r="AF208" s="3">
        <v>146.19999999999999</v>
      </c>
      <c r="AG208" s="3">
        <v>134.69999999999999</v>
      </c>
      <c r="AH208">
        <v>140.19999999999999</v>
      </c>
    </row>
    <row r="209" spans="1:34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 s="3">
        <f t="shared" si="12"/>
        <v>137.09230769230768</v>
      </c>
      <c r="R209" s="3">
        <v>159.6</v>
      </c>
      <c r="S209">
        <v>150.69999999999999</v>
      </c>
      <c r="T209">
        <v>144.5</v>
      </c>
      <c r="U209">
        <v>149.80000000000001</v>
      </c>
      <c r="V209" s="3">
        <f t="shared" si="13"/>
        <v>148.33333333333334</v>
      </c>
      <c r="W209" t="s">
        <v>32</v>
      </c>
      <c r="X209" s="3">
        <f t="shared" si="14"/>
        <v>146.30000000000001</v>
      </c>
      <c r="Y209" s="3">
        <v>144.80000000000001</v>
      </c>
      <c r="Z209">
        <v>149.69999999999999</v>
      </c>
      <c r="AA209">
        <v>147.5</v>
      </c>
      <c r="AB209">
        <v>130.80000000000001</v>
      </c>
      <c r="AC209">
        <v>140.1</v>
      </c>
      <c r="AD209">
        <v>134.4</v>
      </c>
      <c r="AE209" s="3">
        <f t="shared" si="15"/>
        <v>140.5</v>
      </c>
      <c r="AF209" s="3">
        <v>148</v>
      </c>
      <c r="AG209" s="3">
        <v>139.80000000000001</v>
      </c>
      <c r="AH209">
        <v>142.19999999999999</v>
      </c>
    </row>
    <row r="210" spans="1:34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 s="3">
        <f t="shared" si="12"/>
        <v>134.93076923076922</v>
      </c>
      <c r="R210" s="3">
        <v>164</v>
      </c>
      <c r="S210">
        <v>141.5</v>
      </c>
      <c r="T210">
        <v>129.80000000000001</v>
      </c>
      <c r="U210">
        <v>139.69999999999999</v>
      </c>
      <c r="V210" s="3">
        <f t="shared" si="13"/>
        <v>137</v>
      </c>
      <c r="W210">
        <v>146.30000000000001</v>
      </c>
      <c r="X210" s="3">
        <f t="shared" si="14"/>
        <v>146.30000000000001</v>
      </c>
      <c r="Y210" s="3">
        <v>136.19999999999999</v>
      </c>
      <c r="Z210">
        <v>133.4</v>
      </c>
      <c r="AA210">
        <v>135.1</v>
      </c>
      <c r="AB210">
        <v>123.3</v>
      </c>
      <c r="AC210">
        <v>130.69999999999999</v>
      </c>
      <c r="AD210">
        <v>130.4</v>
      </c>
      <c r="AE210" s="3">
        <f t="shared" si="15"/>
        <v>130.57999999999998</v>
      </c>
      <c r="AF210" s="3">
        <v>145.5</v>
      </c>
      <c r="AG210" s="3">
        <v>132.5</v>
      </c>
      <c r="AH210">
        <v>138.9</v>
      </c>
    </row>
    <row r="211" spans="1:34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 s="3">
        <f t="shared" si="12"/>
        <v>136.63076923076923</v>
      </c>
      <c r="R211" s="3">
        <v>162.6</v>
      </c>
      <c r="S211">
        <v>148</v>
      </c>
      <c r="T211">
        <v>139.19999999999999</v>
      </c>
      <c r="U211">
        <v>146.80000000000001</v>
      </c>
      <c r="V211" s="3">
        <f t="shared" si="13"/>
        <v>144.66666666666666</v>
      </c>
      <c r="W211">
        <v>146.9</v>
      </c>
      <c r="X211" s="3">
        <f t="shared" si="14"/>
        <v>146.9</v>
      </c>
      <c r="Y211" s="3">
        <v>142.1</v>
      </c>
      <c r="Z211">
        <v>145.30000000000001</v>
      </c>
      <c r="AA211">
        <v>142.19999999999999</v>
      </c>
      <c r="AB211">
        <v>125.5</v>
      </c>
      <c r="AC211">
        <v>136.5</v>
      </c>
      <c r="AD211">
        <v>132</v>
      </c>
      <c r="AE211" s="3">
        <f t="shared" si="15"/>
        <v>136.30000000000001</v>
      </c>
      <c r="AF211" s="3">
        <v>147.80000000000001</v>
      </c>
      <c r="AG211" s="3">
        <v>136.30000000000001</v>
      </c>
      <c r="AH211">
        <v>140.80000000000001</v>
      </c>
    </row>
    <row r="212" spans="1:34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 s="3">
        <f t="shared" si="12"/>
        <v>137.49999999999997</v>
      </c>
      <c r="R212" s="3">
        <v>161.9</v>
      </c>
      <c r="S212">
        <v>151.69999999999999</v>
      </c>
      <c r="T212">
        <v>145.5</v>
      </c>
      <c r="U212">
        <v>150.80000000000001</v>
      </c>
      <c r="V212" s="3">
        <f t="shared" si="13"/>
        <v>149.33333333333334</v>
      </c>
      <c r="W212" t="s">
        <v>32</v>
      </c>
      <c r="X212" s="3">
        <f t="shared" si="14"/>
        <v>146.9</v>
      </c>
      <c r="Y212" s="3">
        <v>145.4</v>
      </c>
      <c r="Z212">
        <v>150.30000000000001</v>
      </c>
      <c r="AA212">
        <v>148</v>
      </c>
      <c r="AB212">
        <v>130.30000000000001</v>
      </c>
      <c r="AC212">
        <v>143.1</v>
      </c>
      <c r="AD212">
        <v>133.1</v>
      </c>
      <c r="AE212" s="3">
        <f t="shared" si="15"/>
        <v>140.96</v>
      </c>
      <c r="AF212" s="3">
        <v>150.19999999999999</v>
      </c>
      <c r="AG212" s="3">
        <v>140.1</v>
      </c>
      <c r="AH212">
        <v>142.4</v>
      </c>
    </row>
    <row r="213" spans="1:34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 s="3">
        <f t="shared" si="12"/>
        <v>135.19230769230768</v>
      </c>
      <c r="R213" s="3">
        <v>164.4</v>
      </c>
      <c r="S213">
        <v>142.4</v>
      </c>
      <c r="T213">
        <v>130.19999999999999</v>
      </c>
      <c r="U213">
        <v>140.5</v>
      </c>
      <c r="V213" s="3">
        <f t="shared" si="13"/>
        <v>137.70000000000002</v>
      </c>
      <c r="W213">
        <v>146.9</v>
      </c>
      <c r="X213" s="3">
        <f t="shared" si="14"/>
        <v>146.9</v>
      </c>
      <c r="Y213" s="3">
        <v>136.80000000000001</v>
      </c>
      <c r="Z213">
        <v>136.69999999999999</v>
      </c>
      <c r="AA213">
        <v>135.80000000000001</v>
      </c>
      <c r="AB213">
        <v>121.2</v>
      </c>
      <c r="AC213">
        <v>131.30000000000001</v>
      </c>
      <c r="AD213">
        <v>130.5</v>
      </c>
      <c r="AE213" s="3">
        <f t="shared" si="15"/>
        <v>131.1</v>
      </c>
      <c r="AF213" s="3">
        <v>146.1</v>
      </c>
      <c r="AG213" s="3">
        <v>132.19999999999999</v>
      </c>
      <c r="AH213">
        <v>139</v>
      </c>
    </row>
    <row r="214" spans="1:34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 s="3">
        <f t="shared" si="12"/>
        <v>136.59230769230771</v>
      </c>
      <c r="R214" s="3">
        <v>162.6</v>
      </c>
      <c r="S214">
        <v>148</v>
      </c>
      <c r="T214">
        <v>139.1</v>
      </c>
      <c r="U214">
        <v>146.69999999999999</v>
      </c>
      <c r="V214" s="3">
        <f t="shared" si="13"/>
        <v>144.6</v>
      </c>
      <c r="W214">
        <v>146.9</v>
      </c>
      <c r="X214" s="3">
        <f t="shared" si="14"/>
        <v>146.9</v>
      </c>
      <c r="Y214" s="3">
        <v>142.1</v>
      </c>
      <c r="Z214">
        <v>145.1</v>
      </c>
      <c r="AA214">
        <v>142.19999999999999</v>
      </c>
      <c r="AB214">
        <v>125.5</v>
      </c>
      <c r="AC214">
        <v>136.5</v>
      </c>
      <c r="AD214">
        <v>132</v>
      </c>
      <c r="AE214" s="3">
        <f t="shared" si="15"/>
        <v>136.26</v>
      </c>
      <c r="AF214" s="3">
        <v>147.80000000000001</v>
      </c>
      <c r="AG214" s="3">
        <v>136.30000000000001</v>
      </c>
      <c r="AH214">
        <v>140.80000000000001</v>
      </c>
    </row>
    <row r="215" spans="1:34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 s="3">
        <f t="shared" si="12"/>
        <v>136.3923076923077</v>
      </c>
      <c r="R215" s="3">
        <v>162.4</v>
      </c>
      <c r="S215">
        <v>151.6</v>
      </c>
      <c r="T215">
        <v>145.9</v>
      </c>
      <c r="U215">
        <v>150.80000000000001</v>
      </c>
      <c r="V215" s="3">
        <f t="shared" si="13"/>
        <v>149.43333333333334</v>
      </c>
      <c r="W215" t="s">
        <v>32</v>
      </c>
      <c r="X215" s="3">
        <f t="shared" si="14"/>
        <v>146.5</v>
      </c>
      <c r="Y215" s="3">
        <v>149.6</v>
      </c>
      <c r="Z215">
        <v>149</v>
      </c>
      <c r="AA215">
        <v>149.5</v>
      </c>
      <c r="AB215">
        <v>128.9</v>
      </c>
      <c r="AC215">
        <v>143.30000000000001</v>
      </c>
      <c r="AD215">
        <v>133.19999999999999</v>
      </c>
      <c r="AE215" s="3">
        <f t="shared" si="15"/>
        <v>140.78000000000003</v>
      </c>
      <c r="AF215" s="3">
        <v>155.1</v>
      </c>
      <c r="AG215" s="3">
        <v>141.6</v>
      </c>
      <c r="AH215">
        <v>141.9</v>
      </c>
    </row>
    <row r="216" spans="1:34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 s="3">
        <f t="shared" si="12"/>
        <v>134.35384615384615</v>
      </c>
      <c r="R216" s="3">
        <v>164.6</v>
      </c>
      <c r="S216">
        <v>142.69999999999999</v>
      </c>
      <c r="T216">
        <v>130.30000000000001</v>
      </c>
      <c r="U216">
        <v>140.80000000000001</v>
      </c>
      <c r="V216" s="3">
        <f t="shared" si="13"/>
        <v>137.93333333333334</v>
      </c>
      <c r="W216">
        <v>146.5</v>
      </c>
      <c r="X216" s="3">
        <f t="shared" si="14"/>
        <v>146.5</v>
      </c>
      <c r="Y216" s="3">
        <v>137.30000000000001</v>
      </c>
      <c r="Z216">
        <v>132.4</v>
      </c>
      <c r="AA216">
        <v>136.19999999999999</v>
      </c>
      <c r="AB216">
        <v>118.8</v>
      </c>
      <c r="AC216">
        <v>131.69999999999999</v>
      </c>
      <c r="AD216">
        <v>130.80000000000001</v>
      </c>
      <c r="AE216" s="3">
        <f t="shared" si="15"/>
        <v>129.98000000000002</v>
      </c>
      <c r="AF216" s="3">
        <v>146.5</v>
      </c>
      <c r="AG216" s="3">
        <v>131.69999999999999</v>
      </c>
      <c r="AH216">
        <v>138</v>
      </c>
    </row>
    <row r="217" spans="1:34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 s="3">
        <f t="shared" si="12"/>
        <v>135.59999999999997</v>
      </c>
      <c r="R217" s="3">
        <v>163</v>
      </c>
      <c r="S217">
        <v>148.1</v>
      </c>
      <c r="T217">
        <v>139.4</v>
      </c>
      <c r="U217">
        <v>146.80000000000001</v>
      </c>
      <c r="V217" s="3">
        <f t="shared" si="13"/>
        <v>144.76666666666668</v>
      </c>
      <c r="W217">
        <v>146.5</v>
      </c>
      <c r="X217" s="3">
        <f t="shared" si="14"/>
        <v>146.5</v>
      </c>
      <c r="Y217" s="3">
        <v>144.9</v>
      </c>
      <c r="Z217">
        <v>142.69999999999999</v>
      </c>
      <c r="AA217">
        <v>143.19999999999999</v>
      </c>
      <c r="AB217">
        <v>123.6</v>
      </c>
      <c r="AC217">
        <v>136.80000000000001</v>
      </c>
      <c r="AD217">
        <v>132.19999999999999</v>
      </c>
      <c r="AE217" s="3">
        <f t="shared" si="15"/>
        <v>135.69999999999999</v>
      </c>
      <c r="AF217" s="3">
        <v>150.1</v>
      </c>
      <c r="AG217" s="3">
        <v>136.80000000000001</v>
      </c>
      <c r="AH217">
        <v>140.1</v>
      </c>
    </row>
    <row r="218" spans="1:34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 s="3">
        <f t="shared" si="12"/>
        <v>135.35384615384618</v>
      </c>
      <c r="R218" s="3">
        <v>162.69999999999999</v>
      </c>
      <c r="S218">
        <v>150.6</v>
      </c>
      <c r="T218">
        <v>145.1</v>
      </c>
      <c r="U218">
        <v>149.9</v>
      </c>
      <c r="V218" s="3">
        <f t="shared" si="13"/>
        <v>148.53333333333333</v>
      </c>
      <c r="W218" t="s">
        <v>32</v>
      </c>
      <c r="X218" s="3">
        <f t="shared" si="14"/>
        <v>147.69999999999999</v>
      </c>
      <c r="Y218" s="3">
        <v>149.6</v>
      </c>
      <c r="Z218">
        <v>146.19999999999999</v>
      </c>
      <c r="AA218">
        <v>150.1</v>
      </c>
      <c r="AB218">
        <v>128.6</v>
      </c>
      <c r="AC218">
        <v>142.9</v>
      </c>
      <c r="AD218">
        <v>133.5</v>
      </c>
      <c r="AE218" s="3">
        <f t="shared" si="15"/>
        <v>140.26</v>
      </c>
      <c r="AF218" s="3">
        <v>155.19999999999999</v>
      </c>
      <c r="AG218" s="3">
        <v>141.69999999999999</v>
      </c>
      <c r="AH218">
        <v>141</v>
      </c>
    </row>
    <row r="219" spans="1:34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 s="3">
        <f t="shared" si="12"/>
        <v>134.17692307692309</v>
      </c>
      <c r="R219" s="3">
        <v>164.7</v>
      </c>
      <c r="S219">
        <v>143</v>
      </c>
      <c r="T219">
        <v>130.4</v>
      </c>
      <c r="U219">
        <v>141.1</v>
      </c>
      <c r="V219" s="3">
        <f t="shared" si="13"/>
        <v>138.16666666666666</v>
      </c>
      <c r="W219">
        <v>147.69999999999999</v>
      </c>
      <c r="X219" s="3">
        <f t="shared" si="14"/>
        <v>147.69999999999999</v>
      </c>
      <c r="Y219" s="3">
        <v>137.80000000000001</v>
      </c>
      <c r="Z219">
        <v>128.6</v>
      </c>
      <c r="AA219">
        <v>136.30000000000001</v>
      </c>
      <c r="AB219">
        <v>118.6</v>
      </c>
      <c r="AC219">
        <v>131.9</v>
      </c>
      <c r="AD219">
        <v>131.69999999999999</v>
      </c>
      <c r="AE219" s="3">
        <f t="shared" si="15"/>
        <v>129.41999999999999</v>
      </c>
      <c r="AF219" s="3">
        <v>146.6</v>
      </c>
      <c r="AG219" s="3">
        <v>131.80000000000001</v>
      </c>
      <c r="AH219">
        <v>138</v>
      </c>
    </row>
    <row r="220" spans="1:34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 s="3">
        <f t="shared" si="12"/>
        <v>134.87692307692308</v>
      </c>
      <c r="R220" s="3">
        <v>163.19999999999999</v>
      </c>
      <c r="S220">
        <v>147.6</v>
      </c>
      <c r="T220">
        <v>139</v>
      </c>
      <c r="U220">
        <v>146.4</v>
      </c>
      <c r="V220" s="3">
        <f t="shared" si="13"/>
        <v>144.33333333333334</v>
      </c>
      <c r="W220">
        <v>147.69999999999999</v>
      </c>
      <c r="X220" s="3">
        <f t="shared" si="14"/>
        <v>147.69999999999999</v>
      </c>
      <c r="Y220" s="3">
        <v>145.1</v>
      </c>
      <c r="Z220">
        <v>139.5</v>
      </c>
      <c r="AA220">
        <v>143.6</v>
      </c>
      <c r="AB220">
        <v>123.3</v>
      </c>
      <c r="AC220">
        <v>136.69999999999999</v>
      </c>
      <c r="AD220">
        <v>132.80000000000001</v>
      </c>
      <c r="AE220" s="3">
        <f t="shared" si="15"/>
        <v>135.18</v>
      </c>
      <c r="AF220" s="3">
        <v>150.19999999999999</v>
      </c>
      <c r="AG220" s="3">
        <v>136.9</v>
      </c>
      <c r="AH220">
        <v>139.6</v>
      </c>
    </row>
    <row r="221" spans="1:34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 s="3">
        <f t="shared" si="12"/>
        <v>135.3692307692308</v>
      </c>
      <c r="R221" s="3">
        <v>162.80000000000001</v>
      </c>
      <c r="S221">
        <v>150.5</v>
      </c>
      <c r="T221">
        <v>146.1</v>
      </c>
      <c r="U221">
        <v>149.9</v>
      </c>
      <c r="V221" s="3">
        <f t="shared" si="13"/>
        <v>148.83333333333334</v>
      </c>
      <c r="W221" t="s">
        <v>32</v>
      </c>
      <c r="X221" s="3">
        <f t="shared" si="14"/>
        <v>148.5</v>
      </c>
      <c r="Y221" s="3">
        <v>149.9</v>
      </c>
      <c r="Z221">
        <v>145.30000000000001</v>
      </c>
      <c r="AA221">
        <v>150.1</v>
      </c>
      <c r="AB221">
        <v>129.19999999999999</v>
      </c>
      <c r="AC221">
        <v>143.4</v>
      </c>
      <c r="AD221">
        <v>134.9</v>
      </c>
      <c r="AE221" s="3">
        <f t="shared" si="15"/>
        <v>140.57999999999998</v>
      </c>
      <c r="AF221" s="3">
        <v>155.5</v>
      </c>
      <c r="AG221" s="3">
        <v>142.19999999999999</v>
      </c>
      <c r="AH221">
        <v>141</v>
      </c>
    </row>
    <row r="222" spans="1:34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 s="3">
        <f t="shared" si="12"/>
        <v>134.95384615384617</v>
      </c>
      <c r="R222" s="3">
        <v>164.9</v>
      </c>
      <c r="S222">
        <v>143.30000000000001</v>
      </c>
      <c r="T222">
        <v>130.80000000000001</v>
      </c>
      <c r="U222">
        <v>141.4</v>
      </c>
      <c r="V222" s="3">
        <f t="shared" si="13"/>
        <v>138.5</v>
      </c>
      <c r="W222">
        <v>148.5</v>
      </c>
      <c r="X222" s="3">
        <f t="shared" si="14"/>
        <v>148.5</v>
      </c>
      <c r="Y222" s="3">
        <v>138.5</v>
      </c>
      <c r="Z222">
        <v>127.1</v>
      </c>
      <c r="AA222">
        <v>136.6</v>
      </c>
      <c r="AB222">
        <v>119.2</v>
      </c>
      <c r="AC222">
        <v>132.19999999999999</v>
      </c>
      <c r="AD222">
        <v>133</v>
      </c>
      <c r="AE222" s="3">
        <f t="shared" si="15"/>
        <v>129.61999999999998</v>
      </c>
      <c r="AF222" s="3">
        <v>146.6</v>
      </c>
      <c r="AG222" s="3">
        <v>132.4</v>
      </c>
      <c r="AH222">
        <v>138.6</v>
      </c>
    </row>
    <row r="223" spans="1:34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 s="3">
        <f t="shared" si="12"/>
        <v>135.16153846153844</v>
      </c>
      <c r="R223" s="3">
        <v>163.4</v>
      </c>
      <c r="S223">
        <v>147.69999999999999</v>
      </c>
      <c r="T223">
        <v>139.69999999999999</v>
      </c>
      <c r="U223">
        <v>146.5</v>
      </c>
      <c r="V223" s="3">
        <f t="shared" si="13"/>
        <v>144.63333333333333</v>
      </c>
      <c r="W223">
        <v>148.5</v>
      </c>
      <c r="X223" s="3">
        <f t="shared" si="14"/>
        <v>148.5</v>
      </c>
      <c r="Y223" s="3">
        <v>145.6</v>
      </c>
      <c r="Z223">
        <v>138.4</v>
      </c>
      <c r="AA223">
        <v>143.69999999999999</v>
      </c>
      <c r="AB223">
        <v>123.9</v>
      </c>
      <c r="AC223">
        <v>137.1</v>
      </c>
      <c r="AD223">
        <v>134.1</v>
      </c>
      <c r="AE223" s="3">
        <f t="shared" si="15"/>
        <v>135.44</v>
      </c>
      <c r="AF223" s="3">
        <v>150.30000000000001</v>
      </c>
      <c r="AG223" s="3">
        <v>137.4</v>
      </c>
      <c r="AH223">
        <v>139.9</v>
      </c>
    </row>
    <row r="224" spans="1:34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 s="3">
        <f t="shared" si="12"/>
        <v>135.4769230769231</v>
      </c>
      <c r="R224" s="3">
        <v>162.9</v>
      </c>
      <c r="S224">
        <v>150.80000000000001</v>
      </c>
      <c r="T224">
        <v>146.1</v>
      </c>
      <c r="U224">
        <v>150.1</v>
      </c>
      <c r="V224" s="3">
        <f t="shared" si="13"/>
        <v>149</v>
      </c>
      <c r="W224" t="s">
        <v>32</v>
      </c>
      <c r="X224" s="3">
        <f t="shared" si="14"/>
        <v>149</v>
      </c>
      <c r="Y224" s="3">
        <v>150.4</v>
      </c>
      <c r="Z224">
        <v>146.4</v>
      </c>
      <c r="AA224">
        <v>150</v>
      </c>
      <c r="AB224">
        <v>129.9</v>
      </c>
      <c r="AC224">
        <v>143.80000000000001</v>
      </c>
      <c r="AD224">
        <v>134</v>
      </c>
      <c r="AE224" s="3">
        <f t="shared" si="15"/>
        <v>140.82</v>
      </c>
      <c r="AF224" s="3">
        <v>155.5</v>
      </c>
      <c r="AG224" s="3">
        <v>142.4</v>
      </c>
      <c r="AH224">
        <v>141.19999999999999</v>
      </c>
    </row>
    <row r="225" spans="1:34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 s="3">
        <f t="shared" si="12"/>
        <v>136.03076923076924</v>
      </c>
      <c r="R225" s="3">
        <v>165.3</v>
      </c>
      <c r="S225">
        <v>143.5</v>
      </c>
      <c r="T225">
        <v>131.19999999999999</v>
      </c>
      <c r="U225">
        <v>141.6</v>
      </c>
      <c r="V225" s="3">
        <f t="shared" si="13"/>
        <v>138.76666666666665</v>
      </c>
      <c r="W225">
        <v>149</v>
      </c>
      <c r="X225" s="3">
        <f>IF(W225="NA",W226,W225)</f>
        <v>149</v>
      </c>
      <c r="Y225" s="3">
        <v>139.19999999999999</v>
      </c>
      <c r="Z225">
        <v>128.80000000000001</v>
      </c>
      <c r="AA225">
        <v>136.80000000000001</v>
      </c>
      <c r="AB225">
        <v>119.9</v>
      </c>
      <c r="AC225">
        <v>133</v>
      </c>
      <c r="AD225">
        <v>132.5</v>
      </c>
      <c r="AE225" s="3">
        <f t="shared" si="15"/>
        <v>130.19999999999999</v>
      </c>
      <c r="AF225" s="3">
        <v>146.69999999999999</v>
      </c>
      <c r="AG225" s="3">
        <v>132.80000000000001</v>
      </c>
      <c r="AH225">
        <v>139.5</v>
      </c>
    </row>
    <row r="226" spans="1:34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 s="3">
        <f t="shared" si="12"/>
        <v>135.6076923076923</v>
      </c>
      <c r="R226" s="3">
        <v>163.5</v>
      </c>
      <c r="S226">
        <v>147.9</v>
      </c>
      <c r="T226">
        <v>139.9</v>
      </c>
      <c r="U226">
        <v>146.69999999999999</v>
      </c>
      <c r="V226" s="3">
        <f t="shared" si="13"/>
        <v>144.83333333333334</v>
      </c>
      <c r="W226">
        <v>149</v>
      </c>
      <c r="X226" s="3">
        <f>IF(W226="NA",W230,W226)</f>
        <v>149</v>
      </c>
      <c r="Y226" s="3">
        <v>146.19999999999999</v>
      </c>
      <c r="Z226">
        <v>139.69999999999999</v>
      </c>
      <c r="AA226">
        <v>143.80000000000001</v>
      </c>
      <c r="AB226">
        <v>124.6</v>
      </c>
      <c r="AC226">
        <v>137.69999999999999</v>
      </c>
      <c r="AD226">
        <v>133.4</v>
      </c>
      <c r="AE226" s="3">
        <f t="shared" si="15"/>
        <v>135.83999999999997</v>
      </c>
      <c r="AF226" s="3">
        <v>150.30000000000001</v>
      </c>
      <c r="AG226" s="3">
        <v>137.69999999999999</v>
      </c>
      <c r="AH226">
        <v>140.4</v>
      </c>
    </row>
    <row r="227" spans="1:34" x14ac:dyDescent="0.3">
      <c r="A227" t="s">
        <v>30</v>
      </c>
      <c r="B227">
        <v>2019</v>
      </c>
      <c r="C227" t="s">
        <v>37</v>
      </c>
      <c r="D227" s="2">
        <f>AVERAGE(D221:D226,D230:D235)</f>
        <v>138.45833333333334</v>
      </c>
      <c r="E227" s="2">
        <f t="shared" ref="E227:AH229" si="16">AVERAGE(E221:E226,E230:E235)</f>
        <v>156.1</v>
      </c>
      <c r="F227" s="2">
        <f t="shared" si="16"/>
        <v>139.25</v>
      </c>
      <c r="G227" s="2">
        <f t="shared" si="16"/>
        <v>142.54166666666666</v>
      </c>
      <c r="H227" s="2">
        <f t="shared" si="16"/>
        <v>121.55833333333332</v>
      </c>
      <c r="I227" s="2">
        <f t="shared" si="16"/>
        <v>141.93333333333334</v>
      </c>
      <c r="J227" s="2">
        <f t="shared" si="16"/>
        <v>140.9083333333333</v>
      </c>
      <c r="K227" s="2">
        <f t="shared" si="16"/>
        <v>123.83333333333333</v>
      </c>
      <c r="L227" s="2">
        <f t="shared" si="16"/>
        <v>109.93333333333332</v>
      </c>
      <c r="M227" s="2">
        <f t="shared" si="16"/>
        <v>140.08333333333334</v>
      </c>
      <c r="N227" s="2">
        <f t="shared" si="16"/>
        <v>133.39166666666668</v>
      </c>
      <c r="O227" s="2">
        <f t="shared" si="16"/>
        <v>155.34166666666667</v>
      </c>
      <c r="P227" s="2">
        <f t="shared" si="16"/>
        <v>140.07500000000002</v>
      </c>
      <c r="Q227" s="2">
        <f t="shared" si="16"/>
        <v>137.18525641025641</v>
      </c>
      <c r="R227" s="2">
        <f t="shared" si="16"/>
        <v>164.35</v>
      </c>
      <c r="S227" s="2">
        <f t="shared" si="16"/>
        <v>147.64166666666668</v>
      </c>
      <c r="T227" s="2">
        <f t="shared" si="16"/>
        <v>139.25833333333335</v>
      </c>
      <c r="U227" s="2">
        <f t="shared" si="16"/>
        <v>146.40833333333336</v>
      </c>
      <c r="V227" s="2">
        <f t="shared" si="16"/>
        <v>144.43611111111113</v>
      </c>
      <c r="W227" s="2">
        <f t="shared" si="16"/>
        <v>149.25000000000003</v>
      </c>
      <c r="X227" s="2">
        <f t="shared" si="16"/>
        <v>149.25</v>
      </c>
      <c r="Y227" s="2">
        <f t="shared" si="16"/>
        <v>145.6</v>
      </c>
      <c r="Z227" s="2">
        <f t="shared" si="16"/>
        <v>138.48333333333332</v>
      </c>
      <c r="AA227" s="2">
        <f t="shared" si="16"/>
        <v>143.51666666666668</v>
      </c>
      <c r="AB227" s="2">
        <f t="shared" si="16"/>
        <v>124.69166666666665</v>
      </c>
      <c r="AC227" s="2">
        <f t="shared" si="16"/>
        <v>138.88333333333333</v>
      </c>
      <c r="AD227" s="2">
        <f t="shared" si="16"/>
        <v>133.71666666666667</v>
      </c>
      <c r="AE227" s="2">
        <f t="shared" si="16"/>
        <v>135.85833333333332</v>
      </c>
      <c r="AF227" s="2">
        <f t="shared" si="16"/>
        <v>151.69166666666669</v>
      </c>
      <c r="AG227" s="2">
        <f t="shared" si="16"/>
        <v>137.9</v>
      </c>
      <c r="AH227" s="2">
        <f t="shared" si="16"/>
        <v>141.25833333333333</v>
      </c>
    </row>
    <row r="228" spans="1:34" x14ac:dyDescent="0.3">
      <c r="A228" t="s">
        <v>33</v>
      </c>
      <c r="B228">
        <v>2019</v>
      </c>
      <c r="C228" t="s">
        <v>37</v>
      </c>
      <c r="D228" s="2">
        <f t="shared" ref="D228:D229" si="17">AVERAGE(D222:D227,D231:D236)</f>
        <v>138.67986111111111</v>
      </c>
      <c r="E228" s="2">
        <f t="shared" si="16"/>
        <v>156.73333333333332</v>
      </c>
      <c r="F228" s="2">
        <f t="shared" si="16"/>
        <v>139.58750000000001</v>
      </c>
      <c r="G228" s="2">
        <f t="shared" si="16"/>
        <v>142.65347222222223</v>
      </c>
      <c r="H228" s="2">
        <f t="shared" si="16"/>
        <v>121.37986111111111</v>
      </c>
      <c r="I228" s="2">
        <f t="shared" si="16"/>
        <v>142.66944444444445</v>
      </c>
      <c r="J228" s="2">
        <f t="shared" si="16"/>
        <v>143.3173611111111</v>
      </c>
      <c r="K228" s="2">
        <f t="shared" si="16"/>
        <v>124.4861111111111</v>
      </c>
      <c r="L228" s="2">
        <f t="shared" si="16"/>
        <v>110.19444444444444</v>
      </c>
      <c r="M228" s="2">
        <f t="shared" si="16"/>
        <v>140.35694444444445</v>
      </c>
      <c r="N228" s="2">
        <f t="shared" si="16"/>
        <v>133.12430555555554</v>
      </c>
      <c r="O228" s="2">
        <f t="shared" si="16"/>
        <v>155.29513888888889</v>
      </c>
      <c r="P228" s="2">
        <f t="shared" si="16"/>
        <v>140.63124999999999</v>
      </c>
      <c r="Q228" s="2">
        <f t="shared" si="16"/>
        <v>137.62377136752136</v>
      </c>
      <c r="R228" s="2">
        <f t="shared" si="16"/>
        <v>164.57916666666668</v>
      </c>
      <c r="S228" s="2">
        <f t="shared" si="16"/>
        <v>147.42847222222221</v>
      </c>
      <c r="T228" s="2">
        <f t="shared" si="16"/>
        <v>138.68819444444446</v>
      </c>
      <c r="U228" s="2">
        <f t="shared" si="16"/>
        <v>146.13402777777779</v>
      </c>
      <c r="V228" s="2">
        <f t="shared" si="16"/>
        <v>144.08356481481482</v>
      </c>
      <c r="W228" s="2">
        <f t="shared" si="16"/>
        <v>149.25000000000003</v>
      </c>
      <c r="X228" s="2">
        <f t="shared" si="16"/>
        <v>149.35416666666666</v>
      </c>
      <c r="Y228" s="2">
        <f t="shared" si="16"/>
        <v>145.31666666666669</v>
      </c>
      <c r="Z228" s="2">
        <f t="shared" si="16"/>
        <v>137.90694444444446</v>
      </c>
      <c r="AA228" s="2">
        <f t="shared" si="16"/>
        <v>143.00972222222222</v>
      </c>
      <c r="AB228" s="2">
        <f t="shared" si="16"/>
        <v>124.39930555555554</v>
      </c>
      <c r="AC228" s="2">
        <f t="shared" si="16"/>
        <v>138.64027777777775</v>
      </c>
      <c r="AD228" s="2">
        <f t="shared" si="16"/>
        <v>133.80138888888888</v>
      </c>
      <c r="AE228" s="2">
        <f t="shared" si="16"/>
        <v>135.55152777777775</v>
      </c>
      <c r="AF228" s="2">
        <f t="shared" si="16"/>
        <v>151.57430555555555</v>
      </c>
      <c r="AG228" s="2">
        <f t="shared" si="16"/>
        <v>137.65</v>
      </c>
      <c r="AH228" s="2">
        <f t="shared" si="16"/>
        <v>141.48819444444445</v>
      </c>
    </row>
    <row r="229" spans="1:34" x14ac:dyDescent="0.3">
      <c r="A229" t="s">
        <v>34</v>
      </c>
      <c r="B229">
        <v>2019</v>
      </c>
      <c r="C229" t="s">
        <v>37</v>
      </c>
      <c r="D229" s="2">
        <f t="shared" si="17"/>
        <v>138.7031828703704</v>
      </c>
      <c r="E229" s="2">
        <f t="shared" si="16"/>
        <v>157.57777777777775</v>
      </c>
      <c r="F229" s="2">
        <f t="shared" si="16"/>
        <v>139.46145833333335</v>
      </c>
      <c r="G229" s="2">
        <f t="shared" si="16"/>
        <v>142.87459490740741</v>
      </c>
      <c r="H229" s="2">
        <f t="shared" si="16"/>
        <v>121.6865162037037</v>
      </c>
      <c r="I229" s="2">
        <f t="shared" si="16"/>
        <v>143.55856481481484</v>
      </c>
      <c r="J229" s="2">
        <f t="shared" si="16"/>
        <v>145.83547453703702</v>
      </c>
      <c r="K229" s="2">
        <f t="shared" si="16"/>
        <v>125.24328703703704</v>
      </c>
      <c r="L229" s="2">
        <f t="shared" si="16"/>
        <v>110.2273148148148</v>
      </c>
      <c r="M229" s="2">
        <f t="shared" si="16"/>
        <v>140.37002314814814</v>
      </c>
      <c r="N229" s="2">
        <f t="shared" si="16"/>
        <v>133.57633101851852</v>
      </c>
      <c r="O229" s="2">
        <f t="shared" si="16"/>
        <v>155.53640046296297</v>
      </c>
      <c r="P229" s="2">
        <f t="shared" si="16"/>
        <v>141.17552083333334</v>
      </c>
      <c r="Q229" s="2">
        <f t="shared" si="16"/>
        <v>138.14049590455841</v>
      </c>
      <c r="R229" s="2">
        <f t="shared" si="16"/>
        <v>164.6357638888889</v>
      </c>
      <c r="S229" s="2">
        <f t="shared" si="16"/>
        <v>147.8308449074074</v>
      </c>
      <c r="T229" s="2">
        <f t="shared" si="16"/>
        <v>139.36221064814816</v>
      </c>
      <c r="U229" s="2">
        <f t="shared" si="16"/>
        <v>146.57019675925929</v>
      </c>
      <c r="V229" s="2">
        <f t="shared" si="16"/>
        <v>144.58775077160496</v>
      </c>
      <c r="W229" s="2">
        <f t="shared" si="16"/>
        <v>149.38888888888889</v>
      </c>
      <c r="X229" s="2">
        <f t="shared" si="16"/>
        <v>149.46701388888889</v>
      </c>
      <c r="Y229" s="2">
        <f t="shared" si="16"/>
        <v>145.96805555555557</v>
      </c>
      <c r="Z229" s="2">
        <f t="shared" si="16"/>
        <v>138.60752314814815</v>
      </c>
      <c r="AA229" s="2">
        <f t="shared" si="16"/>
        <v>143.58553240740738</v>
      </c>
      <c r="AB229" s="2">
        <f t="shared" si="16"/>
        <v>124.87424768518515</v>
      </c>
      <c r="AC229" s="2">
        <f t="shared" si="16"/>
        <v>139.26030092592592</v>
      </c>
      <c r="AD229" s="2">
        <f t="shared" si="16"/>
        <v>134.07650462962962</v>
      </c>
      <c r="AE229" s="2">
        <f t="shared" si="16"/>
        <v>136.08082175925924</v>
      </c>
      <c r="AF229" s="2">
        <f t="shared" si="16"/>
        <v>152.18883101851853</v>
      </c>
      <c r="AG229" s="2">
        <f t="shared" si="16"/>
        <v>138.18749999999997</v>
      </c>
      <c r="AH229" s="2">
        <f t="shared" si="16"/>
        <v>141.87887731481482</v>
      </c>
    </row>
    <row r="230" spans="1:34" x14ac:dyDescent="0.3">
      <c r="A230" t="s">
        <v>30</v>
      </c>
      <c r="B230">
        <v>2019</v>
      </c>
      <c r="C230" t="s">
        <v>38</v>
      </c>
      <c r="D230">
        <v>137.4</v>
      </c>
      <c r="E230">
        <v>159.5</v>
      </c>
      <c r="F230">
        <v>134.5</v>
      </c>
      <c r="G230">
        <v>142.6</v>
      </c>
      <c r="H230">
        <v>124</v>
      </c>
      <c r="I230">
        <v>143.69999999999999</v>
      </c>
      <c r="J230">
        <v>133.4</v>
      </c>
      <c r="K230">
        <v>125.1</v>
      </c>
      <c r="L230">
        <v>109.3</v>
      </c>
      <c r="M230">
        <v>139.30000000000001</v>
      </c>
      <c r="N230">
        <v>137.69999999999999</v>
      </c>
      <c r="O230">
        <v>156.4</v>
      </c>
      <c r="P230">
        <v>139.19999999999999</v>
      </c>
      <c r="Q230" s="3">
        <f t="shared" si="12"/>
        <v>137.0846153846154</v>
      </c>
      <c r="R230" s="3">
        <v>163.30000000000001</v>
      </c>
      <c r="S230">
        <v>151.30000000000001</v>
      </c>
      <c r="T230">
        <v>146.6</v>
      </c>
      <c r="U230">
        <v>150.69999999999999</v>
      </c>
      <c r="V230" s="3">
        <f t="shared" si="13"/>
        <v>149.53333333333333</v>
      </c>
      <c r="W230" t="s">
        <v>32</v>
      </c>
      <c r="X230" s="3">
        <f t="shared" si="14"/>
        <v>150.1</v>
      </c>
      <c r="Y230" s="3">
        <v>151.30000000000001</v>
      </c>
      <c r="Z230">
        <v>146.9</v>
      </c>
      <c r="AA230">
        <v>149.5</v>
      </c>
      <c r="AB230">
        <v>130.19999999999999</v>
      </c>
      <c r="AC230">
        <v>145.9</v>
      </c>
      <c r="AD230">
        <v>133.9</v>
      </c>
      <c r="AE230" s="3">
        <f t="shared" si="15"/>
        <v>141.28</v>
      </c>
      <c r="AF230" s="3">
        <v>156.69999999999999</v>
      </c>
      <c r="AG230" s="3">
        <v>142.9</v>
      </c>
      <c r="AH230">
        <v>142.4</v>
      </c>
    </row>
    <row r="231" spans="1:34" x14ac:dyDescent="0.3">
      <c r="A231" t="s">
        <v>33</v>
      </c>
      <c r="B231">
        <v>2019</v>
      </c>
      <c r="C231" t="s">
        <v>38</v>
      </c>
      <c r="D231">
        <v>140.4</v>
      </c>
      <c r="E231">
        <v>156.69999999999999</v>
      </c>
      <c r="F231">
        <v>138.30000000000001</v>
      </c>
      <c r="G231">
        <v>142.4</v>
      </c>
      <c r="H231">
        <v>118.6</v>
      </c>
      <c r="I231">
        <v>149.69999999999999</v>
      </c>
      <c r="J231">
        <v>161.6</v>
      </c>
      <c r="K231">
        <v>124.4</v>
      </c>
      <c r="L231">
        <v>111.2</v>
      </c>
      <c r="M231">
        <v>141</v>
      </c>
      <c r="N231">
        <v>128.9</v>
      </c>
      <c r="O231">
        <v>154.5</v>
      </c>
      <c r="P231">
        <v>143.80000000000001</v>
      </c>
      <c r="Q231" s="3">
        <f t="shared" si="12"/>
        <v>139.34615384615387</v>
      </c>
      <c r="R231" s="3">
        <v>166.2</v>
      </c>
      <c r="S231">
        <v>144</v>
      </c>
      <c r="T231">
        <v>131.69999999999999</v>
      </c>
      <c r="U231">
        <v>142.19999999999999</v>
      </c>
      <c r="V231" s="3">
        <f t="shared" si="13"/>
        <v>139.29999999999998</v>
      </c>
      <c r="W231">
        <v>150.1</v>
      </c>
      <c r="X231" s="3">
        <f t="shared" si="14"/>
        <v>150.1</v>
      </c>
      <c r="Y231" s="3">
        <v>139.80000000000001</v>
      </c>
      <c r="Z231">
        <v>129.4</v>
      </c>
      <c r="AA231">
        <v>137.19999999999999</v>
      </c>
      <c r="AB231">
        <v>120.1</v>
      </c>
      <c r="AC231">
        <v>134</v>
      </c>
      <c r="AD231">
        <v>132.6</v>
      </c>
      <c r="AE231" s="3">
        <f t="shared" si="15"/>
        <v>130.66000000000003</v>
      </c>
      <c r="AF231" s="3">
        <v>148</v>
      </c>
      <c r="AG231" s="3">
        <v>133.30000000000001</v>
      </c>
      <c r="AH231">
        <v>141.5</v>
      </c>
    </row>
    <row r="232" spans="1:34" x14ac:dyDescent="0.3">
      <c r="A232" t="s">
        <v>34</v>
      </c>
      <c r="B232">
        <v>2019</v>
      </c>
      <c r="C232" t="s">
        <v>38</v>
      </c>
      <c r="D232">
        <v>138.30000000000001</v>
      </c>
      <c r="E232">
        <v>158.5</v>
      </c>
      <c r="F232">
        <v>136</v>
      </c>
      <c r="G232">
        <v>142.5</v>
      </c>
      <c r="H232">
        <v>122</v>
      </c>
      <c r="I232">
        <v>146.5</v>
      </c>
      <c r="J232">
        <v>143</v>
      </c>
      <c r="K232">
        <v>124.9</v>
      </c>
      <c r="L232">
        <v>109.9</v>
      </c>
      <c r="M232">
        <v>139.9</v>
      </c>
      <c r="N232">
        <v>134</v>
      </c>
      <c r="O232">
        <v>155.5</v>
      </c>
      <c r="P232">
        <v>140.9</v>
      </c>
      <c r="Q232" s="3">
        <f t="shared" si="12"/>
        <v>137.83846153846156</v>
      </c>
      <c r="R232" s="3">
        <v>164.1</v>
      </c>
      <c r="S232">
        <v>148.4</v>
      </c>
      <c r="T232">
        <v>140.4</v>
      </c>
      <c r="U232">
        <v>147.30000000000001</v>
      </c>
      <c r="V232" s="3">
        <f t="shared" si="13"/>
        <v>145.36666666666667</v>
      </c>
      <c r="W232">
        <v>150.1</v>
      </c>
      <c r="X232" s="3">
        <f t="shared" si="14"/>
        <v>150.1</v>
      </c>
      <c r="Y232" s="3">
        <v>146.9</v>
      </c>
      <c r="Z232">
        <v>140.30000000000001</v>
      </c>
      <c r="AA232">
        <v>143.69999999999999</v>
      </c>
      <c r="AB232">
        <v>124.9</v>
      </c>
      <c r="AC232">
        <v>139.19999999999999</v>
      </c>
      <c r="AD232">
        <v>133.4</v>
      </c>
      <c r="AE232" s="3">
        <f t="shared" si="15"/>
        <v>136.29999999999998</v>
      </c>
      <c r="AF232" s="3">
        <v>151.6</v>
      </c>
      <c r="AG232" s="3">
        <v>138.19999999999999</v>
      </c>
      <c r="AH232">
        <v>142</v>
      </c>
    </row>
    <row r="233" spans="1:34" x14ac:dyDescent="0.3">
      <c r="A233" t="s">
        <v>30</v>
      </c>
      <c r="B233">
        <v>2019</v>
      </c>
      <c r="C233" t="s">
        <v>39</v>
      </c>
      <c r="D233">
        <v>137.80000000000001</v>
      </c>
      <c r="E233">
        <v>163.5</v>
      </c>
      <c r="F233">
        <v>136.19999999999999</v>
      </c>
      <c r="G233">
        <v>143.19999999999999</v>
      </c>
      <c r="H233">
        <v>124.3</v>
      </c>
      <c r="I233">
        <v>143.30000000000001</v>
      </c>
      <c r="J233">
        <v>140.6</v>
      </c>
      <c r="K233">
        <v>128.69999999999999</v>
      </c>
      <c r="L233">
        <v>110.6</v>
      </c>
      <c r="M233">
        <v>140.4</v>
      </c>
      <c r="N233">
        <v>138</v>
      </c>
      <c r="O233">
        <v>156.6</v>
      </c>
      <c r="P233">
        <v>141</v>
      </c>
      <c r="Q233" s="3">
        <f t="shared" si="12"/>
        <v>138.78461538461536</v>
      </c>
      <c r="R233" s="3">
        <v>164.2</v>
      </c>
      <c r="S233">
        <v>151.4</v>
      </c>
      <c r="T233">
        <v>146.5</v>
      </c>
      <c r="U233">
        <v>150.69999999999999</v>
      </c>
      <c r="V233" s="3">
        <f t="shared" si="13"/>
        <v>149.53333333333333</v>
      </c>
      <c r="W233" t="s">
        <v>32</v>
      </c>
      <c r="X233" s="3">
        <f t="shared" si="14"/>
        <v>149.4</v>
      </c>
      <c r="Y233" s="3">
        <v>151.69999999999999</v>
      </c>
      <c r="Z233">
        <v>147.80000000000001</v>
      </c>
      <c r="AA233">
        <v>149.6</v>
      </c>
      <c r="AB233">
        <v>130.19999999999999</v>
      </c>
      <c r="AC233">
        <v>146.4</v>
      </c>
      <c r="AD233">
        <v>134.80000000000001</v>
      </c>
      <c r="AE233" s="3">
        <f t="shared" si="15"/>
        <v>141.76</v>
      </c>
      <c r="AF233" s="3">
        <v>157.69999999999999</v>
      </c>
      <c r="AG233" s="3">
        <v>143.30000000000001</v>
      </c>
      <c r="AH233">
        <v>143.6</v>
      </c>
    </row>
    <row r="234" spans="1:34" x14ac:dyDescent="0.3">
      <c r="A234" t="s">
        <v>33</v>
      </c>
      <c r="B234">
        <v>2019</v>
      </c>
      <c r="C234" t="s">
        <v>39</v>
      </c>
      <c r="D234">
        <v>140.69999999999999</v>
      </c>
      <c r="E234">
        <v>159.6</v>
      </c>
      <c r="F234">
        <v>140.4</v>
      </c>
      <c r="G234">
        <v>143.4</v>
      </c>
      <c r="H234">
        <v>118.6</v>
      </c>
      <c r="I234">
        <v>150.9</v>
      </c>
      <c r="J234">
        <v>169.8</v>
      </c>
      <c r="K234">
        <v>127.4</v>
      </c>
      <c r="L234">
        <v>111.8</v>
      </c>
      <c r="M234">
        <v>141</v>
      </c>
      <c r="N234">
        <v>129</v>
      </c>
      <c r="O234">
        <v>155.1</v>
      </c>
      <c r="P234">
        <v>145.6</v>
      </c>
      <c r="Q234" s="3">
        <f t="shared" si="12"/>
        <v>141.0230769230769</v>
      </c>
      <c r="R234" s="3">
        <v>166.7</v>
      </c>
      <c r="S234">
        <v>144.30000000000001</v>
      </c>
      <c r="T234">
        <v>131.69999999999999</v>
      </c>
      <c r="U234">
        <v>142.4</v>
      </c>
      <c r="V234" s="3">
        <f t="shared" si="13"/>
        <v>139.46666666666667</v>
      </c>
      <c r="W234">
        <v>149.4</v>
      </c>
      <c r="X234" s="3">
        <f t="shared" si="14"/>
        <v>149.4</v>
      </c>
      <c r="Y234" s="3">
        <v>140.30000000000001</v>
      </c>
      <c r="Z234">
        <v>130.5</v>
      </c>
      <c r="AA234">
        <v>137.4</v>
      </c>
      <c r="AB234">
        <v>119.6</v>
      </c>
      <c r="AC234">
        <v>134.30000000000001</v>
      </c>
      <c r="AD234">
        <v>133.69999999999999</v>
      </c>
      <c r="AE234" s="3">
        <f t="shared" si="15"/>
        <v>131.1</v>
      </c>
      <c r="AF234" s="3">
        <v>148.9</v>
      </c>
      <c r="AG234" s="3">
        <v>133.6</v>
      </c>
      <c r="AH234">
        <v>142.1</v>
      </c>
    </row>
    <row r="235" spans="1:34" x14ac:dyDescent="0.3">
      <c r="A235" t="s">
        <v>34</v>
      </c>
      <c r="B235">
        <v>2019</v>
      </c>
      <c r="C235" t="s">
        <v>39</v>
      </c>
      <c r="D235">
        <v>138.69999999999999</v>
      </c>
      <c r="E235">
        <v>162.1</v>
      </c>
      <c r="F235">
        <v>137.80000000000001</v>
      </c>
      <c r="G235">
        <v>143.30000000000001</v>
      </c>
      <c r="H235">
        <v>122.2</v>
      </c>
      <c r="I235">
        <v>146.80000000000001</v>
      </c>
      <c r="J235">
        <v>150.5</v>
      </c>
      <c r="K235">
        <v>128.30000000000001</v>
      </c>
      <c r="L235">
        <v>111</v>
      </c>
      <c r="M235">
        <v>140.6</v>
      </c>
      <c r="N235">
        <v>134.19999999999999</v>
      </c>
      <c r="O235">
        <v>155.9</v>
      </c>
      <c r="P235">
        <v>142.69999999999999</v>
      </c>
      <c r="Q235" s="3">
        <f t="shared" si="12"/>
        <v>139.54615384615386</v>
      </c>
      <c r="R235" s="3">
        <v>164.9</v>
      </c>
      <c r="S235">
        <v>148.6</v>
      </c>
      <c r="T235">
        <v>140.4</v>
      </c>
      <c r="U235">
        <v>147.4</v>
      </c>
      <c r="V235" s="3">
        <f t="shared" si="13"/>
        <v>145.46666666666667</v>
      </c>
      <c r="W235">
        <v>149.4</v>
      </c>
      <c r="X235" s="3">
        <f t="shared" si="14"/>
        <v>149.4</v>
      </c>
      <c r="Y235" s="3">
        <v>147.4</v>
      </c>
      <c r="Z235">
        <v>141.19999999999999</v>
      </c>
      <c r="AA235">
        <v>143.80000000000001</v>
      </c>
      <c r="AB235">
        <v>124.6</v>
      </c>
      <c r="AC235">
        <v>139.6</v>
      </c>
      <c r="AD235">
        <v>134.30000000000001</v>
      </c>
      <c r="AE235" s="3">
        <f t="shared" si="15"/>
        <v>136.69999999999999</v>
      </c>
      <c r="AF235" s="3">
        <v>152.5</v>
      </c>
      <c r="AG235" s="3">
        <v>138.6</v>
      </c>
      <c r="AH235">
        <v>142.9</v>
      </c>
    </row>
    <row r="236" spans="1:34" x14ac:dyDescent="0.3">
      <c r="A236" t="s">
        <v>30</v>
      </c>
      <c r="B236">
        <v>2019</v>
      </c>
      <c r="C236" t="s">
        <v>40</v>
      </c>
      <c r="D236">
        <v>138.4</v>
      </c>
      <c r="E236">
        <v>164</v>
      </c>
      <c r="F236">
        <v>138.4</v>
      </c>
      <c r="G236">
        <v>143.9</v>
      </c>
      <c r="H236">
        <v>124.4</v>
      </c>
      <c r="I236">
        <v>146.4</v>
      </c>
      <c r="J236">
        <v>150.1</v>
      </c>
      <c r="K236">
        <v>130.6</v>
      </c>
      <c r="L236">
        <v>110.8</v>
      </c>
      <c r="M236">
        <v>141.69999999999999</v>
      </c>
      <c r="N236">
        <v>138.5</v>
      </c>
      <c r="O236">
        <v>156.69999999999999</v>
      </c>
      <c r="P236">
        <v>143</v>
      </c>
      <c r="Q236" s="3">
        <f t="shared" si="12"/>
        <v>140.53076923076921</v>
      </c>
      <c r="R236" s="3">
        <v>164.5</v>
      </c>
      <c r="S236">
        <v>151.6</v>
      </c>
      <c r="T236">
        <v>146.6</v>
      </c>
      <c r="U236">
        <v>150.9</v>
      </c>
      <c r="V236" s="3">
        <f t="shared" si="13"/>
        <v>149.70000000000002</v>
      </c>
      <c r="W236" t="s">
        <v>32</v>
      </c>
      <c r="X236" s="3">
        <f t="shared" si="14"/>
        <v>150.6</v>
      </c>
      <c r="Y236" s="3">
        <v>152.19999999999999</v>
      </c>
      <c r="Z236">
        <v>146.80000000000001</v>
      </c>
      <c r="AA236">
        <v>150</v>
      </c>
      <c r="AB236">
        <v>131.19999999999999</v>
      </c>
      <c r="AC236">
        <v>147.5</v>
      </c>
      <c r="AD236">
        <v>136.1</v>
      </c>
      <c r="AE236" s="3">
        <f t="shared" si="15"/>
        <v>142.32</v>
      </c>
      <c r="AF236" s="3">
        <v>159.1</v>
      </c>
      <c r="AG236" s="3">
        <v>144.19999999999999</v>
      </c>
      <c r="AH236">
        <v>144.9</v>
      </c>
    </row>
    <row r="237" spans="1:34" x14ac:dyDescent="0.3">
      <c r="A237" t="s">
        <v>33</v>
      </c>
      <c r="B237">
        <v>2019</v>
      </c>
      <c r="C237" t="s">
        <v>40</v>
      </c>
      <c r="D237">
        <v>141.4</v>
      </c>
      <c r="E237">
        <v>160.19999999999999</v>
      </c>
      <c r="F237">
        <v>142.5</v>
      </c>
      <c r="G237">
        <v>144.1</v>
      </c>
      <c r="H237">
        <v>119.3</v>
      </c>
      <c r="I237">
        <v>154.69999999999999</v>
      </c>
      <c r="J237">
        <v>180.1</v>
      </c>
      <c r="K237">
        <v>128.9</v>
      </c>
      <c r="L237">
        <v>111.8</v>
      </c>
      <c r="M237">
        <v>141.6</v>
      </c>
      <c r="N237">
        <v>129.5</v>
      </c>
      <c r="O237">
        <v>155.6</v>
      </c>
      <c r="P237">
        <v>147.69999999999999</v>
      </c>
      <c r="Q237" s="3">
        <f t="shared" si="12"/>
        <v>142.87692307692308</v>
      </c>
      <c r="R237" s="3">
        <v>167.2</v>
      </c>
      <c r="S237">
        <v>144.69999999999999</v>
      </c>
      <c r="T237">
        <v>131.9</v>
      </c>
      <c r="U237">
        <v>142.69999999999999</v>
      </c>
      <c r="V237" s="3">
        <f t="shared" si="13"/>
        <v>139.76666666666668</v>
      </c>
      <c r="W237">
        <v>150.6</v>
      </c>
      <c r="X237" s="3">
        <f t="shared" si="14"/>
        <v>150.6</v>
      </c>
      <c r="Y237" s="3">
        <v>140.80000000000001</v>
      </c>
      <c r="Z237">
        <v>127</v>
      </c>
      <c r="AA237">
        <v>137.69999999999999</v>
      </c>
      <c r="AB237">
        <v>120.6</v>
      </c>
      <c r="AC237">
        <v>135</v>
      </c>
      <c r="AD237">
        <v>135.1</v>
      </c>
      <c r="AE237" s="3">
        <f t="shared" si="15"/>
        <v>131.07999999999998</v>
      </c>
      <c r="AF237" s="3">
        <v>150.4</v>
      </c>
      <c r="AG237" s="3">
        <v>134.5</v>
      </c>
      <c r="AH237">
        <v>143.30000000000001</v>
      </c>
    </row>
    <row r="238" spans="1:34" x14ac:dyDescent="0.3">
      <c r="A238" t="s">
        <v>34</v>
      </c>
      <c r="B238">
        <v>2019</v>
      </c>
      <c r="C238" t="s">
        <v>40</v>
      </c>
      <c r="D238">
        <v>139.30000000000001</v>
      </c>
      <c r="E238">
        <v>162.69999999999999</v>
      </c>
      <c r="F238">
        <v>140</v>
      </c>
      <c r="G238">
        <v>144</v>
      </c>
      <c r="H238">
        <v>122.5</v>
      </c>
      <c r="I238">
        <v>150.30000000000001</v>
      </c>
      <c r="J238">
        <v>160.30000000000001</v>
      </c>
      <c r="K238">
        <v>130</v>
      </c>
      <c r="L238">
        <v>111.1</v>
      </c>
      <c r="M238">
        <v>141.69999999999999</v>
      </c>
      <c r="N238">
        <v>134.69999999999999</v>
      </c>
      <c r="O238">
        <v>156.19999999999999</v>
      </c>
      <c r="P238">
        <v>144.69999999999999</v>
      </c>
      <c r="Q238" s="3">
        <f t="shared" si="12"/>
        <v>141.34615384615384</v>
      </c>
      <c r="R238" s="3">
        <v>165.2</v>
      </c>
      <c r="S238">
        <v>148.9</v>
      </c>
      <c r="T238">
        <v>140.5</v>
      </c>
      <c r="U238">
        <v>147.6</v>
      </c>
      <c r="V238" s="3">
        <f t="shared" si="13"/>
        <v>145.66666666666666</v>
      </c>
      <c r="W238">
        <v>150.6</v>
      </c>
      <c r="X238" s="3">
        <f t="shared" si="14"/>
        <v>150.6</v>
      </c>
      <c r="Y238" s="3">
        <v>147.9</v>
      </c>
      <c r="Z238">
        <v>139.30000000000001</v>
      </c>
      <c r="AA238">
        <v>144.19999999999999</v>
      </c>
      <c r="AB238">
        <v>125.6</v>
      </c>
      <c r="AC238">
        <v>140.5</v>
      </c>
      <c r="AD238">
        <v>135.69999999999999</v>
      </c>
      <c r="AE238" s="3">
        <f t="shared" si="15"/>
        <v>137.06</v>
      </c>
      <c r="AF238" s="3">
        <v>154</v>
      </c>
      <c r="AG238" s="3">
        <v>139.5</v>
      </c>
      <c r="AH238">
        <v>144.19999999999999</v>
      </c>
    </row>
    <row r="239" spans="1:34" x14ac:dyDescent="0.3">
      <c r="A239" t="s">
        <v>30</v>
      </c>
      <c r="B239">
        <v>2019</v>
      </c>
      <c r="C239" t="s">
        <v>41</v>
      </c>
      <c r="D239">
        <v>139.19999999999999</v>
      </c>
      <c r="E239">
        <v>161.9</v>
      </c>
      <c r="F239">
        <v>137.1</v>
      </c>
      <c r="G239">
        <v>144.6</v>
      </c>
      <c r="H239">
        <v>124.7</v>
      </c>
      <c r="I239">
        <v>145.5</v>
      </c>
      <c r="J239">
        <v>156.19999999999999</v>
      </c>
      <c r="K239">
        <v>131.5</v>
      </c>
      <c r="L239">
        <v>111.7</v>
      </c>
      <c r="M239">
        <v>142.69999999999999</v>
      </c>
      <c r="N239">
        <v>138.5</v>
      </c>
      <c r="O239">
        <v>156.9</v>
      </c>
      <c r="P239">
        <v>144</v>
      </c>
      <c r="Q239" s="3">
        <f t="shared" si="12"/>
        <v>141.11538461538464</v>
      </c>
      <c r="R239" s="3">
        <v>165.1</v>
      </c>
      <c r="S239">
        <v>151.80000000000001</v>
      </c>
      <c r="T239">
        <v>146.6</v>
      </c>
      <c r="U239">
        <v>151.1</v>
      </c>
      <c r="V239" s="3">
        <f t="shared" si="13"/>
        <v>149.83333333333334</v>
      </c>
      <c r="W239" t="s">
        <v>32</v>
      </c>
      <c r="X239" s="3">
        <f t="shared" si="14"/>
        <v>151.6</v>
      </c>
      <c r="Y239" s="3">
        <v>152.69999999999999</v>
      </c>
      <c r="Z239">
        <v>146.4</v>
      </c>
      <c r="AA239">
        <v>150.19999999999999</v>
      </c>
      <c r="AB239">
        <v>131.4</v>
      </c>
      <c r="AC239">
        <v>148</v>
      </c>
      <c r="AD239">
        <v>138.80000000000001</v>
      </c>
      <c r="AE239" s="3">
        <f t="shared" si="15"/>
        <v>142.95999999999998</v>
      </c>
      <c r="AF239" s="3">
        <v>159.69999999999999</v>
      </c>
      <c r="AG239" s="3">
        <v>144.9</v>
      </c>
      <c r="AH239">
        <v>145.69999999999999</v>
      </c>
    </row>
    <row r="240" spans="1:34" x14ac:dyDescent="0.3">
      <c r="A240" t="s">
        <v>33</v>
      </c>
      <c r="B240">
        <v>2019</v>
      </c>
      <c r="C240" t="s">
        <v>41</v>
      </c>
      <c r="D240">
        <v>142.1</v>
      </c>
      <c r="E240">
        <v>158.30000000000001</v>
      </c>
      <c r="F240">
        <v>140.80000000000001</v>
      </c>
      <c r="G240">
        <v>144.9</v>
      </c>
      <c r="H240">
        <v>119.9</v>
      </c>
      <c r="I240">
        <v>153.9</v>
      </c>
      <c r="J240">
        <v>189.1</v>
      </c>
      <c r="K240">
        <v>129.80000000000001</v>
      </c>
      <c r="L240">
        <v>112.7</v>
      </c>
      <c r="M240">
        <v>142.5</v>
      </c>
      <c r="N240">
        <v>129.80000000000001</v>
      </c>
      <c r="O240">
        <v>156.19999999999999</v>
      </c>
      <c r="P240">
        <v>149.1</v>
      </c>
      <c r="Q240" s="3">
        <f t="shared" si="12"/>
        <v>143.77692307692308</v>
      </c>
      <c r="R240" s="3">
        <v>167.9</v>
      </c>
      <c r="S240">
        <v>145</v>
      </c>
      <c r="T240">
        <v>132.19999999999999</v>
      </c>
      <c r="U240">
        <v>143</v>
      </c>
      <c r="V240" s="3">
        <f t="shared" si="13"/>
        <v>140.06666666666666</v>
      </c>
      <c r="W240">
        <v>151.6</v>
      </c>
      <c r="X240" s="3">
        <f t="shared" si="14"/>
        <v>151.6</v>
      </c>
      <c r="Y240" s="3">
        <v>141.5</v>
      </c>
      <c r="Z240">
        <v>125.5</v>
      </c>
      <c r="AA240">
        <v>138.1</v>
      </c>
      <c r="AB240">
        <v>120.8</v>
      </c>
      <c r="AC240">
        <v>135.4</v>
      </c>
      <c r="AD240">
        <v>137.80000000000001</v>
      </c>
      <c r="AE240" s="3">
        <f t="shared" si="15"/>
        <v>131.52000000000004</v>
      </c>
      <c r="AF240" s="3">
        <v>151.5</v>
      </c>
      <c r="AG240" s="3">
        <v>135.30000000000001</v>
      </c>
      <c r="AH240">
        <v>144.19999999999999</v>
      </c>
    </row>
    <row r="241" spans="1:34" x14ac:dyDescent="0.3">
      <c r="A241" t="s">
        <v>34</v>
      </c>
      <c r="B241">
        <v>2019</v>
      </c>
      <c r="C241" t="s">
        <v>41</v>
      </c>
      <c r="D241">
        <v>140.1</v>
      </c>
      <c r="E241">
        <v>160.6</v>
      </c>
      <c r="F241">
        <v>138.5</v>
      </c>
      <c r="G241">
        <v>144.69999999999999</v>
      </c>
      <c r="H241">
        <v>122.9</v>
      </c>
      <c r="I241">
        <v>149.4</v>
      </c>
      <c r="J241">
        <v>167.4</v>
      </c>
      <c r="K241">
        <v>130.9</v>
      </c>
      <c r="L241">
        <v>112</v>
      </c>
      <c r="M241">
        <v>142.6</v>
      </c>
      <c r="N241">
        <v>134.9</v>
      </c>
      <c r="O241">
        <v>156.6</v>
      </c>
      <c r="P241">
        <v>145.9</v>
      </c>
      <c r="Q241" s="3">
        <f t="shared" si="12"/>
        <v>142.03846153846155</v>
      </c>
      <c r="R241" s="3">
        <v>165.8</v>
      </c>
      <c r="S241">
        <v>149.1</v>
      </c>
      <c r="T241">
        <v>140.6</v>
      </c>
      <c r="U241">
        <v>147.9</v>
      </c>
      <c r="V241" s="3">
        <f t="shared" si="13"/>
        <v>145.86666666666667</v>
      </c>
      <c r="W241">
        <v>151.6</v>
      </c>
      <c r="X241" s="3">
        <f t="shared" si="14"/>
        <v>151.6</v>
      </c>
      <c r="Y241" s="3">
        <v>148.5</v>
      </c>
      <c r="Z241">
        <v>138.5</v>
      </c>
      <c r="AA241">
        <v>144.5</v>
      </c>
      <c r="AB241">
        <v>125.8</v>
      </c>
      <c r="AC241">
        <v>140.9</v>
      </c>
      <c r="AD241">
        <v>138.4</v>
      </c>
      <c r="AE241" s="3">
        <f t="shared" si="15"/>
        <v>137.62</v>
      </c>
      <c r="AF241" s="3">
        <v>154.9</v>
      </c>
      <c r="AG241" s="3">
        <v>140.19999999999999</v>
      </c>
      <c r="AH241">
        <v>145</v>
      </c>
    </row>
    <row r="242" spans="1:34" x14ac:dyDescent="0.3">
      <c r="A242" t="s">
        <v>30</v>
      </c>
      <c r="B242">
        <v>2019</v>
      </c>
      <c r="C242" t="s">
        <v>42</v>
      </c>
      <c r="D242">
        <v>140.1</v>
      </c>
      <c r="E242">
        <v>161.9</v>
      </c>
      <c r="F242">
        <v>138.30000000000001</v>
      </c>
      <c r="G242">
        <v>145.69999999999999</v>
      </c>
      <c r="H242">
        <v>125.1</v>
      </c>
      <c r="I242">
        <v>143.80000000000001</v>
      </c>
      <c r="J242">
        <v>163.4</v>
      </c>
      <c r="K242">
        <v>132.19999999999999</v>
      </c>
      <c r="L242">
        <v>112.8</v>
      </c>
      <c r="M242">
        <v>144.19999999999999</v>
      </c>
      <c r="N242">
        <v>138.5</v>
      </c>
      <c r="O242">
        <v>157.19999999999999</v>
      </c>
      <c r="P242">
        <v>145.5</v>
      </c>
      <c r="Q242" s="3">
        <f t="shared" si="12"/>
        <v>142.2076923076923</v>
      </c>
      <c r="R242" s="3">
        <v>165.7</v>
      </c>
      <c r="S242">
        <v>151.69999999999999</v>
      </c>
      <c r="T242">
        <v>146.6</v>
      </c>
      <c r="U242">
        <v>151</v>
      </c>
      <c r="V242" s="3">
        <f t="shared" si="13"/>
        <v>149.76666666666665</v>
      </c>
      <c r="W242" t="s">
        <v>32</v>
      </c>
      <c r="X242" s="3">
        <f t="shared" si="14"/>
        <v>152.19999999999999</v>
      </c>
      <c r="Y242" s="3">
        <v>153.4</v>
      </c>
      <c r="Z242">
        <v>146.9</v>
      </c>
      <c r="AA242">
        <v>150.30000000000001</v>
      </c>
      <c r="AB242">
        <v>131.6</v>
      </c>
      <c r="AC242">
        <v>148.30000000000001</v>
      </c>
      <c r="AD242">
        <v>140.19999999999999</v>
      </c>
      <c r="AE242" s="3">
        <f t="shared" si="15"/>
        <v>143.46000000000004</v>
      </c>
      <c r="AF242" s="3">
        <v>160.19999999999999</v>
      </c>
      <c r="AG242" s="3">
        <v>145.4</v>
      </c>
      <c r="AH242">
        <v>146.69999999999999</v>
      </c>
    </row>
    <row r="243" spans="1:34" x14ac:dyDescent="0.3">
      <c r="A243" t="s">
        <v>33</v>
      </c>
      <c r="B243">
        <v>2019</v>
      </c>
      <c r="C243" t="s">
        <v>42</v>
      </c>
      <c r="D243">
        <v>142.69999999999999</v>
      </c>
      <c r="E243">
        <v>158.69999999999999</v>
      </c>
      <c r="F243">
        <v>141.6</v>
      </c>
      <c r="G243">
        <v>144.9</v>
      </c>
      <c r="H243">
        <v>120.8</v>
      </c>
      <c r="I243">
        <v>149.80000000000001</v>
      </c>
      <c r="J243">
        <v>192.4</v>
      </c>
      <c r="K243">
        <v>130.30000000000001</v>
      </c>
      <c r="L243">
        <v>114</v>
      </c>
      <c r="M243">
        <v>143.80000000000001</v>
      </c>
      <c r="N243">
        <v>130</v>
      </c>
      <c r="O243">
        <v>156.4</v>
      </c>
      <c r="P243">
        <v>149.5</v>
      </c>
      <c r="Q243" s="3">
        <f t="shared" si="12"/>
        <v>144.22307692307692</v>
      </c>
      <c r="R243" s="3">
        <v>168.6</v>
      </c>
      <c r="S243">
        <v>145.30000000000001</v>
      </c>
      <c r="T243">
        <v>132.19999999999999</v>
      </c>
      <c r="U243">
        <v>143.30000000000001</v>
      </c>
      <c r="V243" s="3">
        <f t="shared" si="13"/>
        <v>140.26666666666668</v>
      </c>
      <c r="W243">
        <v>152.19999999999999</v>
      </c>
      <c r="X243" s="3">
        <f t="shared" si="14"/>
        <v>152.19999999999999</v>
      </c>
      <c r="Y243" s="3">
        <v>141.9</v>
      </c>
      <c r="Z243">
        <v>126.6</v>
      </c>
      <c r="AA243">
        <v>138.30000000000001</v>
      </c>
      <c r="AB243">
        <v>121.2</v>
      </c>
      <c r="AC243">
        <v>135.9</v>
      </c>
      <c r="AD243">
        <v>139</v>
      </c>
      <c r="AE243" s="3">
        <f t="shared" si="15"/>
        <v>132.19999999999999</v>
      </c>
      <c r="AF243" s="3">
        <v>151.6</v>
      </c>
      <c r="AG243" s="3">
        <v>135.69999999999999</v>
      </c>
      <c r="AH243">
        <v>144.69999999999999</v>
      </c>
    </row>
    <row r="244" spans="1:34" x14ac:dyDescent="0.3">
      <c r="A244" t="s">
        <v>34</v>
      </c>
      <c r="B244">
        <v>2019</v>
      </c>
      <c r="C244" t="s">
        <v>42</v>
      </c>
      <c r="D244">
        <v>140.9</v>
      </c>
      <c r="E244">
        <v>160.80000000000001</v>
      </c>
      <c r="F244">
        <v>139.6</v>
      </c>
      <c r="G244">
        <v>145.4</v>
      </c>
      <c r="H244">
        <v>123.5</v>
      </c>
      <c r="I244">
        <v>146.6</v>
      </c>
      <c r="J244">
        <v>173.2</v>
      </c>
      <c r="K244">
        <v>131.6</v>
      </c>
      <c r="L244">
        <v>113.2</v>
      </c>
      <c r="M244">
        <v>144.1</v>
      </c>
      <c r="N244">
        <v>135</v>
      </c>
      <c r="O244">
        <v>156.80000000000001</v>
      </c>
      <c r="P244">
        <v>147</v>
      </c>
      <c r="Q244" s="3">
        <f t="shared" si="12"/>
        <v>142.89999999999998</v>
      </c>
      <c r="R244" s="3">
        <v>166.5</v>
      </c>
      <c r="S244">
        <v>149.19999999999999</v>
      </c>
      <c r="T244">
        <v>140.6</v>
      </c>
      <c r="U244">
        <v>147.9</v>
      </c>
      <c r="V244" s="3">
        <f t="shared" si="13"/>
        <v>145.89999999999998</v>
      </c>
      <c r="W244">
        <v>152.19999999999999</v>
      </c>
      <c r="X244" s="3">
        <f t="shared" si="14"/>
        <v>152.19999999999999</v>
      </c>
      <c r="Y244" s="3">
        <v>149</v>
      </c>
      <c r="Z244">
        <v>139.19999999999999</v>
      </c>
      <c r="AA244">
        <v>144.6</v>
      </c>
      <c r="AB244">
        <v>126.1</v>
      </c>
      <c r="AC244">
        <v>141.30000000000001</v>
      </c>
      <c r="AD244">
        <v>139.69999999999999</v>
      </c>
      <c r="AE244" s="3">
        <f t="shared" si="15"/>
        <v>138.18</v>
      </c>
      <c r="AF244" s="3">
        <v>155.19999999999999</v>
      </c>
      <c r="AG244" s="3">
        <v>140.69999999999999</v>
      </c>
      <c r="AH244">
        <v>145.80000000000001</v>
      </c>
    </row>
    <row r="245" spans="1:34" x14ac:dyDescent="0.3">
      <c r="A245" t="s">
        <v>30</v>
      </c>
      <c r="B245">
        <v>2019</v>
      </c>
      <c r="C245" t="s">
        <v>43</v>
      </c>
      <c r="D245">
        <v>141</v>
      </c>
      <c r="E245">
        <v>161.6</v>
      </c>
      <c r="F245">
        <v>141.19999999999999</v>
      </c>
      <c r="G245">
        <v>146.5</v>
      </c>
      <c r="H245">
        <v>125.6</v>
      </c>
      <c r="I245">
        <v>145.69999999999999</v>
      </c>
      <c r="J245">
        <v>178.8</v>
      </c>
      <c r="K245">
        <v>133.1</v>
      </c>
      <c r="L245">
        <v>113.6</v>
      </c>
      <c r="M245">
        <v>145.5</v>
      </c>
      <c r="N245">
        <v>138.6</v>
      </c>
      <c r="O245">
        <v>157.4</v>
      </c>
      <c r="P245">
        <v>148.30000000000001</v>
      </c>
      <c r="Q245" s="3">
        <f t="shared" si="12"/>
        <v>144.37692307692305</v>
      </c>
      <c r="R245" s="3">
        <v>166.3</v>
      </c>
      <c r="S245">
        <v>151.69999999999999</v>
      </c>
      <c r="T245">
        <v>146.69999999999999</v>
      </c>
      <c r="U245">
        <v>151</v>
      </c>
      <c r="V245" s="3">
        <f t="shared" si="13"/>
        <v>149.79999999999998</v>
      </c>
      <c r="W245" t="s">
        <v>32</v>
      </c>
      <c r="X245" s="3">
        <f t="shared" si="14"/>
        <v>153</v>
      </c>
      <c r="Y245" s="3">
        <v>153.69999999999999</v>
      </c>
      <c r="Z245">
        <v>147.69999999999999</v>
      </c>
      <c r="AA245">
        <v>150.6</v>
      </c>
      <c r="AB245">
        <v>131.69999999999999</v>
      </c>
      <c r="AC245">
        <v>148.69999999999999</v>
      </c>
      <c r="AD245">
        <v>140.30000000000001</v>
      </c>
      <c r="AE245" s="3">
        <f t="shared" si="15"/>
        <v>143.80000000000001</v>
      </c>
      <c r="AF245" s="3">
        <v>160.69999999999999</v>
      </c>
      <c r="AG245" s="3">
        <v>145.69999999999999</v>
      </c>
      <c r="AH245">
        <v>148.30000000000001</v>
      </c>
    </row>
    <row r="246" spans="1:34" x14ac:dyDescent="0.3">
      <c r="A246" t="s">
        <v>33</v>
      </c>
      <c r="B246">
        <v>2019</v>
      </c>
      <c r="C246" t="s">
        <v>43</v>
      </c>
      <c r="D246">
        <v>143.5</v>
      </c>
      <c r="E246">
        <v>159.80000000000001</v>
      </c>
      <c r="F246">
        <v>144.69999999999999</v>
      </c>
      <c r="G246">
        <v>145.6</v>
      </c>
      <c r="H246">
        <v>121.1</v>
      </c>
      <c r="I246">
        <v>150.6</v>
      </c>
      <c r="J246">
        <v>207.2</v>
      </c>
      <c r="K246">
        <v>131.19999999999999</v>
      </c>
      <c r="L246">
        <v>114.8</v>
      </c>
      <c r="M246">
        <v>145.19999999999999</v>
      </c>
      <c r="N246">
        <v>130.19999999999999</v>
      </c>
      <c r="O246">
        <v>156.80000000000001</v>
      </c>
      <c r="P246">
        <v>151.9</v>
      </c>
      <c r="Q246" s="3">
        <f t="shared" si="12"/>
        <v>146.35384615384618</v>
      </c>
      <c r="R246" s="3">
        <v>169.3</v>
      </c>
      <c r="S246">
        <v>145.9</v>
      </c>
      <c r="T246">
        <v>132.4</v>
      </c>
      <c r="U246">
        <v>143.9</v>
      </c>
      <c r="V246" s="3">
        <f t="shared" si="13"/>
        <v>140.73333333333335</v>
      </c>
      <c r="W246">
        <v>153</v>
      </c>
      <c r="X246" s="3">
        <f t="shared" si="14"/>
        <v>153</v>
      </c>
      <c r="Y246" s="3">
        <v>142.4</v>
      </c>
      <c r="Z246">
        <v>128.9</v>
      </c>
      <c r="AA246">
        <v>138.69999999999999</v>
      </c>
      <c r="AB246">
        <v>121.5</v>
      </c>
      <c r="AC246">
        <v>136.19999999999999</v>
      </c>
      <c r="AD246">
        <v>139.5</v>
      </c>
      <c r="AE246" s="3">
        <f t="shared" si="15"/>
        <v>132.95999999999998</v>
      </c>
      <c r="AF246" s="3">
        <v>151.69999999999999</v>
      </c>
      <c r="AG246" s="3">
        <v>136</v>
      </c>
      <c r="AH246">
        <v>146</v>
      </c>
    </row>
    <row r="247" spans="1:34" x14ac:dyDescent="0.3">
      <c r="A247" t="s">
        <v>34</v>
      </c>
      <c r="B247">
        <v>2019</v>
      </c>
      <c r="C247" t="s">
        <v>43</v>
      </c>
      <c r="D247">
        <v>141.80000000000001</v>
      </c>
      <c r="E247">
        <v>161</v>
      </c>
      <c r="F247">
        <v>142.6</v>
      </c>
      <c r="G247">
        <v>146.19999999999999</v>
      </c>
      <c r="H247">
        <v>123.9</v>
      </c>
      <c r="I247">
        <v>148</v>
      </c>
      <c r="J247">
        <v>188.4</v>
      </c>
      <c r="K247">
        <v>132.5</v>
      </c>
      <c r="L247">
        <v>114</v>
      </c>
      <c r="M247">
        <v>145.4</v>
      </c>
      <c r="N247">
        <v>135.1</v>
      </c>
      <c r="O247">
        <v>157.1</v>
      </c>
      <c r="P247">
        <v>149.6</v>
      </c>
      <c r="Q247" s="3">
        <f t="shared" si="12"/>
        <v>145.04615384615383</v>
      </c>
      <c r="R247" s="3">
        <v>167.1</v>
      </c>
      <c r="S247">
        <v>149.4</v>
      </c>
      <c r="T247">
        <v>140.80000000000001</v>
      </c>
      <c r="U247">
        <v>148.19999999999999</v>
      </c>
      <c r="V247" s="3">
        <f t="shared" si="13"/>
        <v>146.13333333333335</v>
      </c>
      <c r="W247">
        <v>153</v>
      </c>
      <c r="X247" s="3">
        <f t="shared" si="14"/>
        <v>153</v>
      </c>
      <c r="Y247" s="3">
        <v>149.4</v>
      </c>
      <c r="Z247">
        <v>140.6</v>
      </c>
      <c r="AA247">
        <v>145</v>
      </c>
      <c r="AB247">
        <v>126.3</v>
      </c>
      <c r="AC247">
        <v>141.69999999999999</v>
      </c>
      <c r="AD247">
        <v>140</v>
      </c>
      <c r="AE247" s="3">
        <f t="shared" si="15"/>
        <v>138.72</v>
      </c>
      <c r="AF247" s="3">
        <v>155.4</v>
      </c>
      <c r="AG247" s="3">
        <v>141</v>
      </c>
      <c r="AH247">
        <v>147.19999999999999</v>
      </c>
    </row>
    <row r="248" spans="1:34" x14ac:dyDescent="0.3">
      <c r="A248" t="s">
        <v>30</v>
      </c>
      <c r="B248">
        <v>2019</v>
      </c>
      <c r="C248" t="s">
        <v>45</v>
      </c>
      <c r="D248">
        <v>141.80000000000001</v>
      </c>
      <c r="E248">
        <v>163.69999999999999</v>
      </c>
      <c r="F248">
        <v>143.80000000000001</v>
      </c>
      <c r="G248">
        <v>147.1</v>
      </c>
      <c r="H248">
        <v>126</v>
      </c>
      <c r="I248">
        <v>146.19999999999999</v>
      </c>
      <c r="J248">
        <v>191.4</v>
      </c>
      <c r="K248">
        <v>136.19999999999999</v>
      </c>
      <c r="L248">
        <v>113.8</v>
      </c>
      <c r="M248">
        <v>147.30000000000001</v>
      </c>
      <c r="N248">
        <v>138.69999999999999</v>
      </c>
      <c r="O248">
        <v>157.69999999999999</v>
      </c>
      <c r="P248">
        <v>150.9</v>
      </c>
      <c r="Q248" s="3">
        <f t="shared" si="12"/>
        <v>146.50769230769231</v>
      </c>
      <c r="R248" s="3">
        <v>167.2</v>
      </c>
      <c r="S248">
        <v>152.30000000000001</v>
      </c>
      <c r="T248">
        <v>147</v>
      </c>
      <c r="U248">
        <v>151.5</v>
      </c>
      <c r="V248" s="3">
        <f t="shared" si="13"/>
        <v>150.26666666666668</v>
      </c>
      <c r="W248" t="s">
        <v>32</v>
      </c>
      <c r="X248" s="3">
        <f t="shared" si="14"/>
        <v>153.5</v>
      </c>
      <c r="Y248" s="3">
        <v>154.30000000000001</v>
      </c>
      <c r="Z248">
        <v>148.4</v>
      </c>
      <c r="AA248">
        <v>150.9</v>
      </c>
      <c r="AB248">
        <v>132.1</v>
      </c>
      <c r="AC248">
        <v>149.1</v>
      </c>
      <c r="AD248">
        <v>140.6</v>
      </c>
      <c r="AE248" s="3">
        <f t="shared" si="15"/>
        <v>144.22</v>
      </c>
      <c r="AF248" s="3">
        <v>160.80000000000001</v>
      </c>
      <c r="AG248" s="3">
        <v>146.1</v>
      </c>
      <c r="AH248">
        <v>149.9</v>
      </c>
    </row>
    <row r="249" spans="1:34" x14ac:dyDescent="0.3">
      <c r="A249" t="s">
        <v>33</v>
      </c>
      <c r="B249">
        <v>2019</v>
      </c>
      <c r="C249" t="s">
        <v>45</v>
      </c>
      <c r="D249">
        <v>144.1</v>
      </c>
      <c r="E249">
        <v>162.4</v>
      </c>
      <c r="F249">
        <v>148.4</v>
      </c>
      <c r="G249">
        <v>145.9</v>
      </c>
      <c r="H249">
        <v>121.5</v>
      </c>
      <c r="I249">
        <v>148.80000000000001</v>
      </c>
      <c r="J249">
        <v>215.7</v>
      </c>
      <c r="K249">
        <v>134.6</v>
      </c>
      <c r="L249">
        <v>115</v>
      </c>
      <c r="M249">
        <v>146.30000000000001</v>
      </c>
      <c r="N249">
        <v>130.5</v>
      </c>
      <c r="O249">
        <v>157.19999999999999</v>
      </c>
      <c r="P249">
        <v>153.6</v>
      </c>
      <c r="Q249" s="3">
        <f t="shared" si="12"/>
        <v>147.99999999999997</v>
      </c>
      <c r="R249" s="3">
        <v>169.9</v>
      </c>
      <c r="S249">
        <v>146.30000000000001</v>
      </c>
      <c r="T249">
        <v>132.6</v>
      </c>
      <c r="U249">
        <v>144.19999999999999</v>
      </c>
      <c r="V249" s="3">
        <f t="shared" si="13"/>
        <v>141.03333333333333</v>
      </c>
      <c r="W249">
        <v>153.5</v>
      </c>
      <c r="X249" s="3">
        <f t="shared" si="14"/>
        <v>153.5</v>
      </c>
      <c r="Y249" s="3">
        <v>142.80000000000001</v>
      </c>
      <c r="Z249">
        <v>132.19999999999999</v>
      </c>
      <c r="AA249">
        <v>139.1</v>
      </c>
      <c r="AB249">
        <v>121.7</v>
      </c>
      <c r="AC249">
        <v>136.69999999999999</v>
      </c>
      <c r="AD249">
        <v>139.80000000000001</v>
      </c>
      <c r="AE249" s="3">
        <f t="shared" si="15"/>
        <v>133.9</v>
      </c>
      <c r="AF249" s="3">
        <v>151.80000000000001</v>
      </c>
      <c r="AG249" s="3">
        <v>136.30000000000001</v>
      </c>
      <c r="AH249">
        <v>147</v>
      </c>
    </row>
    <row r="250" spans="1:34" x14ac:dyDescent="0.3">
      <c r="A250" t="s">
        <v>34</v>
      </c>
      <c r="B250">
        <v>2019</v>
      </c>
      <c r="C250" t="s">
        <v>45</v>
      </c>
      <c r="D250">
        <v>142.5</v>
      </c>
      <c r="E250">
        <v>163.19999999999999</v>
      </c>
      <c r="F250">
        <v>145.6</v>
      </c>
      <c r="G250">
        <v>146.69999999999999</v>
      </c>
      <c r="H250">
        <v>124.3</v>
      </c>
      <c r="I250">
        <v>147.4</v>
      </c>
      <c r="J250">
        <v>199.6</v>
      </c>
      <c r="K250">
        <v>135.69999999999999</v>
      </c>
      <c r="L250">
        <v>114.2</v>
      </c>
      <c r="M250">
        <v>147</v>
      </c>
      <c r="N250">
        <v>135.30000000000001</v>
      </c>
      <c r="O250">
        <v>157.5</v>
      </c>
      <c r="P250">
        <v>151.9</v>
      </c>
      <c r="Q250" s="3">
        <f t="shared" si="12"/>
        <v>146.99230769230769</v>
      </c>
      <c r="R250" s="3">
        <v>167.9</v>
      </c>
      <c r="S250">
        <v>149.9</v>
      </c>
      <c r="T250">
        <v>141</v>
      </c>
      <c r="U250">
        <v>148.6</v>
      </c>
      <c r="V250" s="3">
        <f t="shared" si="13"/>
        <v>146.5</v>
      </c>
      <c r="W250">
        <v>153.5</v>
      </c>
      <c r="X250" s="3">
        <f t="shared" si="14"/>
        <v>153.5</v>
      </c>
      <c r="Y250" s="3">
        <v>149.9</v>
      </c>
      <c r="Z250">
        <v>142.30000000000001</v>
      </c>
      <c r="AA250">
        <v>145.30000000000001</v>
      </c>
      <c r="AB250">
        <v>126.6</v>
      </c>
      <c r="AC250">
        <v>142.1</v>
      </c>
      <c r="AD250">
        <v>140.30000000000001</v>
      </c>
      <c r="AE250" s="3">
        <f t="shared" si="15"/>
        <v>139.32000000000002</v>
      </c>
      <c r="AF250" s="3">
        <v>155.5</v>
      </c>
      <c r="AG250" s="3">
        <v>141.30000000000001</v>
      </c>
      <c r="AH250">
        <v>148.6</v>
      </c>
    </row>
    <row r="251" spans="1:34" x14ac:dyDescent="0.3">
      <c r="A251" t="s">
        <v>30</v>
      </c>
      <c r="B251">
        <v>2019</v>
      </c>
      <c r="C251" t="s">
        <v>46</v>
      </c>
      <c r="D251">
        <v>142.80000000000001</v>
      </c>
      <c r="E251">
        <v>165.3</v>
      </c>
      <c r="F251">
        <v>149.5</v>
      </c>
      <c r="G251">
        <v>148.69999999999999</v>
      </c>
      <c r="H251">
        <v>127.5</v>
      </c>
      <c r="I251">
        <v>144.30000000000001</v>
      </c>
      <c r="J251">
        <v>209.5</v>
      </c>
      <c r="K251">
        <v>138.80000000000001</v>
      </c>
      <c r="L251">
        <v>113.6</v>
      </c>
      <c r="M251">
        <v>149.1</v>
      </c>
      <c r="N251">
        <v>139.30000000000001</v>
      </c>
      <c r="O251">
        <v>158.30000000000001</v>
      </c>
      <c r="P251">
        <v>154.30000000000001</v>
      </c>
      <c r="Q251" s="3">
        <f t="shared" si="12"/>
        <v>149.30769230769226</v>
      </c>
      <c r="R251" s="3">
        <v>167.8</v>
      </c>
      <c r="S251">
        <v>152.6</v>
      </c>
      <c r="T251">
        <v>147.30000000000001</v>
      </c>
      <c r="U251">
        <v>151.9</v>
      </c>
      <c r="V251" s="3">
        <f t="shared" si="13"/>
        <v>150.6</v>
      </c>
      <c r="W251" t="s">
        <v>32</v>
      </c>
      <c r="X251" s="3">
        <f t="shared" si="14"/>
        <v>152.80000000000001</v>
      </c>
      <c r="Y251" s="3">
        <v>154.80000000000001</v>
      </c>
      <c r="Z251">
        <v>149.9</v>
      </c>
      <c r="AA251">
        <v>151.19999999999999</v>
      </c>
      <c r="AB251">
        <v>135</v>
      </c>
      <c r="AC251">
        <v>149.5</v>
      </c>
      <c r="AD251">
        <v>140.6</v>
      </c>
      <c r="AE251" s="3">
        <f t="shared" si="15"/>
        <v>145.24</v>
      </c>
      <c r="AF251" s="3">
        <v>161.1</v>
      </c>
      <c r="AG251" s="3">
        <v>147.1</v>
      </c>
      <c r="AH251">
        <v>152.30000000000001</v>
      </c>
    </row>
    <row r="252" spans="1:34" x14ac:dyDescent="0.3">
      <c r="A252" t="s">
        <v>33</v>
      </c>
      <c r="B252">
        <v>2019</v>
      </c>
      <c r="C252" t="s">
        <v>46</v>
      </c>
      <c r="D252">
        <v>144.9</v>
      </c>
      <c r="E252">
        <v>164.5</v>
      </c>
      <c r="F252">
        <v>153.69999999999999</v>
      </c>
      <c r="G252">
        <v>147.5</v>
      </c>
      <c r="H252">
        <v>122.7</v>
      </c>
      <c r="I252">
        <v>147.19999999999999</v>
      </c>
      <c r="J252">
        <v>231.5</v>
      </c>
      <c r="K252">
        <v>137.19999999999999</v>
      </c>
      <c r="L252">
        <v>114.7</v>
      </c>
      <c r="M252">
        <v>148</v>
      </c>
      <c r="N252">
        <v>130.80000000000001</v>
      </c>
      <c r="O252">
        <v>157.69999999999999</v>
      </c>
      <c r="P252">
        <v>156.30000000000001</v>
      </c>
      <c r="Q252" s="3">
        <f t="shared" si="12"/>
        <v>150.51538461538462</v>
      </c>
      <c r="R252" s="3">
        <v>170.4</v>
      </c>
      <c r="S252">
        <v>146.80000000000001</v>
      </c>
      <c r="T252">
        <v>132.80000000000001</v>
      </c>
      <c r="U252">
        <v>144.6</v>
      </c>
      <c r="V252" s="3">
        <f t="shared" si="13"/>
        <v>141.4</v>
      </c>
      <c r="W252">
        <v>152.80000000000001</v>
      </c>
      <c r="X252" s="3">
        <f t="shared" si="14"/>
        <v>152.80000000000001</v>
      </c>
      <c r="Y252" s="3">
        <v>143.19999999999999</v>
      </c>
      <c r="Z252">
        <v>133.6</v>
      </c>
      <c r="AA252">
        <v>139.80000000000001</v>
      </c>
      <c r="AB252">
        <v>125.2</v>
      </c>
      <c r="AC252">
        <v>136.80000000000001</v>
      </c>
      <c r="AD252">
        <v>140.19999999999999</v>
      </c>
      <c r="AE252" s="3">
        <f t="shared" si="15"/>
        <v>135.11999999999998</v>
      </c>
      <c r="AF252" s="3">
        <v>151.9</v>
      </c>
      <c r="AG252" s="3">
        <v>137.69999999999999</v>
      </c>
      <c r="AH252">
        <v>148.30000000000001</v>
      </c>
    </row>
    <row r="253" spans="1:34" x14ac:dyDescent="0.3">
      <c r="A253" t="s">
        <v>34</v>
      </c>
      <c r="B253">
        <v>2019</v>
      </c>
      <c r="C253" t="s">
        <v>46</v>
      </c>
      <c r="D253">
        <v>143.5</v>
      </c>
      <c r="E253">
        <v>165</v>
      </c>
      <c r="F253">
        <v>151.1</v>
      </c>
      <c r="G253">
        <v>148.30000000000001</v>
      </c>
      <c r="H253">
        <v>125.7</v>
      </c>
      <c r="I253">
        <v>145.69999999999999</v>
      </c>
      <c r="J253">
        <v>217</v>
      </c>
      <c r="K253">
        <v>138.30000000000001</v>
      </c>
      <c r="L253">
        <v>114</v>
      </c>
      <c r="M253">
        <v>148.69999999999999</v>
      </c>
      <c r="N253">
        <v>135.80000000000001</v>
      </c>
      <c r="O253">
        <v>158</v>
      </c>
      <c r="P253">
        <v>155</v>
      </c>
      <c r="Q253" s="3">
        <f t="shared" si="12"/>
        <v>149.70000000000002</v>
      </c>
      <c r="R253" s="3">
        <v>168.5</v>
      </c>
      <c r="S253">
        <v>150.30000000000001</v>
      </c>
      <c r="T253">
        <v>141.30000000000001</v>
      </c>
      <c r="U253">
        <v>149</v>
      </c>
      <c r="V253" s="3">
        <f t="shared" si="13"/>
        <v>146.86666666666667</v>
      </c>
      <c r="W253">
        <v>152.80000000000001</v>
      </c>
      <c r="X253" s="3">
        <f t="shared" si="14"/>
        <v>152.80000000000001</v>
      </c>
      <c r="Y253" s="3">
        <v>150.4</v>
      </c>
      <c r="Z253">
        <v>143.69999999999999</v>
      </c>
      <c r="AA253">
        <v>145.80000000000001</v>
      </c>
      <c r="AB253">
        <v>129.80000000000001</v>
      </c>
      <c r="AC253">
        <v>142.30000000000001</v>
      </c>
      <c r="AD253">
        <v>140.4</v>
      </c>
      <c r="AE253" s="3">
        <f t="shared" si="15"/>
        <v>140.4</v>
      </c>
      <c r="AF253" s="3">
        <v>155.69999999999999</v>
      </c>
      <c r="AG253" s="3">
        <v>142.5</v>
      </c>
      <c r="AH253">
        <v>150.4</v>
      </c>
    </row>
    <row r="254" spans="1:34" x14ac:dyDescent="0.3">
      <c r="A254" t="s">
        <v>30</v>
      </c>
      <c r="B254">
        <v>2020</v>
      </c>
      <c r="C254" t="s">
        <v>31</v>
      </c>
      <c r="D254">
        <v>143.69999999999999</v>
      </c>
      <c r="E254">
        <v>167.3</v>
      </c>
      <c r="F254">
        <v>153.5</v>
      </c>
      <c r="G254">
        <v>150.5</v>
      </c>
      <c r="H254">
        <v>132</v>
      </c>
      <c r="I254">
        <v>142.19999999999999</v>
      </c>
      <c r="J254">
        <v>191.5</v>
      </c>
      <c r="K254">
        <v>141.1</v>
      </c>
      <c r="L254">
        <v>113.8</v>
      </c>
      <c r="M254">
        <v>151.6</v>
      </c>
      <c r="N254">
        <v>139.69999999999999</v>
      </c>
      <c r="O254">
        <v>158.69999999999999</v>
      </c>
      <c r="P254">
        <v>153</v>
      </c>
      <c r="Q254" s="3">
        <f t="shared" si="12"/>
        <v>149.12307692307692</v>
      </c>
      <c r="R254" s="3">
        <v>168.6</v>
      </c>
      <c r="S254">
        <v>152.80000000000001</v>
      </c>
      <c r="T254">
        <v>147.4</v>
      </c>
      <c r="U254">
        <v>152.1</v>
      </c>
      <c r="V254" s="3">
        <f t="shared" si="13"/>
        <v>150.76666666666668</v>
      </c>
      <c r="W254" t="s">
        <v>32</v>
      </c>
      <c r="X254" s="3">
        <f t="shared" si="14"/>
        <v>153.9</v>
      </c>
      <c r="Y254" s="3">
        <v>155.69999999999999</v>
      </c>
      <c r="Z254">
        <v>150.4</v>
      </c>
      <c r="AA254">
        <v>151.69999999999999</v>
      </c>
      <c r="AB254">
        <v>136.30000000000001</v>
      </c>
      <c r="AC254">
        <v>150.1</v>
      </c>
      <c r="AD254">
        <v>142.5</v>
      </c>
      <c r="AE254" s="3">
        <f t="shared" si="15"/>
        <v>146.19999999999999</v>
      </c>
      <c r="AF254" s="3">
        <v>161.69999999999999</v>
      </c>
      <c r="AG254" s="3">
        <v>148.1</v>
      </c>
      <c r="AH254">
        <v>151.9</v>
      </c>
    </row>
    <row r="255" spans="1:34" x14ac:dyDescent="0.3">
      <c r="A255" t="s">
        <v>33</v>
      </c>
      <c r="B255">
        <v>2020</v>
      </c>
      <c r="C255" t="s">
        <v>31</v>
      </c>
      <c r="D255">
        <v>145.6</v>
      </c>
      <c r="E255">
        <v>167.6</v>
      </c>
      <c r="F255">
        <v>157</v>
      </c>
      <c r="G255">
        <v>149.30000000000001</v>
      </c>
      <c r="H255">
        <v>126.3</v>
      </c>
      <c r="I255">
        <v>144.4</v>
      </c>
      <c r="J255">
        <v>207.8</v>
      </c>
      <c r="K255">
        <v>139.1</v>
      </c>
      <c r="L255">
        <v>114.8</v>
      </c>
      <c r="M255">
        <v>149.5</v>
      </c>
      <c r="N255">
        <v>131.1</v>
      </c>
      <c r="O255">
        <v>158.5</v>
      </c>
      <c r="P255">
        <v>154.4</v>
      </c>
      <c r="Q255" s="3">
        <f t="shared" si="12"/>
        <v>149.64615384615382</v>
      </c>
      <c r="R255" s="3">
        <v>170.8</v>
      </c>
      <c r="S255">
        <v>147</v>
      </c>
      <c r="T255">
        <v>133.19999999999999</v>
      </c>
      <c r="U255">
        <v>144.9</v>
      </c>
      <c r="V255" s="3">
        <f t="shared" si="13"/>
        <v>141.70000000000002</v>
      </c>
      <c r="W255">
        <v>153.9</v>
      </c>
      <c r="X255" s="3">
        <f t="shared" si="14"/>
        <v>153.9</v>
      </c>
      <c r="Y255" s="3">
        <v>143.80000000000001</v>
      </c>
      <c r="Z255">
        <v>135.1</v>
      </c>
      <c r="AA255">
        <v>140.1</v>
      </c>
      <c r="AB255">
        <v>126.1</v>
      </c>
      <c r="AC255">
        <v>137.19999999999999</v>
      </c>
      <c r="AD255">
        <v>142.1</v>
      </c>
      <c r="AE255" s="3">
        <f t="shared" si="15"/>
        <v>136.12</v>
      </c>
      <c r="AF255" s="3">
        <v>152.1</v>
      </c>
      <c r="AG255" s="3">
        <v>138.4</v>
      </c>
      <c r="AH255">
        <v>148.19999999999999</v>
      </c>
    </row>
    <row r="256" spans="1:34" x14ac:dyDescent="0.3">
      <c r="A256" t="s">
        <v>34</v>
      </c>
      <c r="B256">
        <v>2020</v>
      </c>
      <c r="C256" t="s">
        <v>31</v>
      </c>
      <c r="D256">
        <v>144.30000000000001</v>
      </c>
      <c r="E256">
        <v>167.4</v>
      </c>
      <c r="F256">
        <v>154.9</v>
      </c>
      <c r="G256">
        <v>150.1</v>
      </c>
      <c r="H256">
        <v>129.9</v>
      </c>
      <c r="I256">
        <v>143.19999999999999</v>
      </c>
      <c r="J256">
        <v>197</v>
      </c>
      <c r="K256">
        <v>140.4</v>
      </c>
      <c r="L256">
        <v>114.1</v>
      </c>
      <c r="M256">
        <v>150.9</v>
      </c>
      <c r="N256">
        <v>136.1</v>
      </c>
      <c r="O256">
        <v>158.6</v>
      </c>
      <c r="P256">
        <v>153.5</v>
      </c>
      <c r="Q256" s="3">
        <f t="shared" si="12"/>
        <v>149.26153846153846</v>
      </c>
      <c r="R256" s="3">
        <v>169.2</v>
      </c>
      <c r="S256">
        <v>150.5</v>
      </c>
      <c r="T256">
        <v>141.5</v>
      </c>
      <c r="U256">
        <v>149.19999999999999</v>
      </c>
      <c r="V256" s="3">
        <f t="shared" si="13"/>
        <v>147.06666666666666</v>
      </c>
      <c r="W256">
        <v>153.9</v>
      </c>
      <c r="X256" s="3">
        <f t="shared" si="14"/>
        <v>153.9</v>
      </c>
      <c r="Y256" s="3">
        <v>151.19999999999999</v>
      </c>
      <c r="Z256">
        <v>144.6</v>
      </c>
      <c r="AA256">
        <v>146.19999999999999</v>
      </c>
      <c r="AB256">
        <v>130.9</v>
      </c>
      <c r="AC256">
        <v>142.80000000000001</v>
      </c>
      <c r="AD256">
        <v>142.30000000000001</v>
      </c>
      <c r="AE256" s="3">
        <f t="shared" si="15"/>
        <v>141.35999999999999</v>
      </c>
      <c r="AF256" s="3">
        <v>156.1</v>
      </c>
      <c r="AG256" s="3">
        <v>143.4</v>
      </c>
      <c r="AH256">
        <v>150.19999999999999</v>
      </c>
    </row>
    <row r="257" spans="1:34" x14ac:dyDescent="0.3">
      <c r="A257" t="s">
        <v>30</v>
      </c>
      <c r="B257">
        <v>2020</v>
      </c>
      <c r="C257" t="s">
        <v>35</v>
      </c>
      <c r="D257">
        <v>144.19999999999999</v>
      </c>
      <c r="E257">
        <v>167.5</v>
      </c>
      <c r="F257">
        <v>150.9</v>
      </c>
      <c r="G257">
        <v>150.9</v>
      </c>
      <c r="H257">
        <v>133.69999999999999</v>
      </c>
      <c r="I257">
        <v>140.69999999999999</v>
      </c>
      <c r="J257">
        <v>165.1</v>
      </c>
      <c r="K257">
        <v>141.80000000000001</v>
      </c>
      <c r="L257">
        <v>113.1</v>
      </c>
      <c r="M257">
        <v>152.80000000000001</v>
      </c>
      <c r="N257">
        <v>140.1</v>
      </c>
      <c r="O257">
        <v>159.19999999999999</v>
      </c>
      <c r="P257">
        <v>149.80000000000001</v>
      </c>
      <c r="Q257" s="3">
        <f t="shared" si="12"/>
        <v>146.90769230769229</v>
      </c>
      <c r="R257" s="3">
        <v>169.4</v>
      </c>
      <c r="S257">
        <v>153</v>
      </c>
      <c r="T257">
        <v>147.5</v>
      </c>
      <c r="U257">
        <v>152.30000000000001</v>
      </c>
      <c r="V257" s="3">
        <f t="shared" si="13"/>
        <v>150.93333333333334</v>
      </c>
      <c r="W257" t="s">
        <v>32</v>
      </c>
      <c r="X257" s="3">
        <f t="shared" si="14"/>
        <v>154.80000000000001</v>
      </c>
      <c r="Y257" s="3">
        <v>156.19999999999999</v>
      </c>
      <c r="Z257">
        <v>152.30000000000001</v>
      </c>
      <c r="AA257">
        <v>151.80000000000001</v>
      </c>
      <c r="AB257">
        <v>136</v>
      </c>
      <c r="AC257">
        <v>150.4</v>
      </c>
      <c r="AD257">
        <v>143.4</v>
      </c>
      <c r="AE257" s="3">
        <f t="shared" si="15"/>
        <v>146.78</v>
      </c>
      <c r="AF257" s="3">
        <v>161.9</v>
      </c>
      <c r="AG257" s="3">
        <v>148.4</v>
      </c>
      <c r="AH257">
        <v>150.4</v>
      </c>
    </row>
    <row r="258" spans="1:34" x14ac:dyDescent="0.3">
      <c r="A258" t="s">
        <v>33</v>
      </c>
      <c r="B258">
        <v>2020</v>
      </c>
      <c r="C258" t="s">
        <v>35</v>
      </c>
      <c r="D258">
        <v>146.19999999999999</v>
      </c>
      <c r="E258">
        <v>167.6</v>
      </c>
      <c r="F258">
        <v>153.1</v>
      </c>
      <c r="G258">
        <v>150.69999999999999</v>
      </c>
      <c r="H258">
        <v>127.4</v>
      </c>
      <c r="I258">
        <v>143.1</v>
      </c>
      <c r="J258">
        <v>181.7</v>
      </c>
      <c r="K258">
        <v>139.6</v>
      </c>
      <c r="L258">
        <v>114.6</v>
      </c>
      <c r="M258">
        <v>150.4</v>
      </c>
      <c r="N258">
        <v>131.5</v>
      </c>
      <c r="O258">
        <v>159</v>
      </c>
      <c r="P258">
        <v>151.69999999999999</v>
      </c>
      <c r="Q258" s="3">
        <f t="shared" si="12"/>
        <v>147.43076923076922</v>
      </c>
      <c r="R258" s="3">
        <v>172</v>
      </c>
      <c r="S258">
        <v>147.30000000000001</v>
      </c>
      <c r="T258">
        <v>133.5</v>
      </c>
      <c r="U258">
        <v>145.19999999999999</v>
      </c>
      <c r="V258" s="3">
        <f t="shared" si="13"/>
        <v>142</v>
      </c>
      <c r="W258">
        <v>154.80000000000001</v>
      </c>
      <c r="X258" s="3">
        <f t="shared" si="14"/>
        <v>154.80000000000001</v>
      </c>
      <c r="Y258" s="3">
        <v>144.4</v>
      </c>
      <c r="Z258">
        <v>138.9</v>
      </c>
      <c r="AA258">
        <v>140.4</v>
      </c>
      <c r="AB258">
        <v>125.2</v>
      </c>
      <c r="AC258">
        <v>137.69999999999999</v>
      </c>
      <c r="AD258">
        <v>143.5</v>
      </c>
      <c r="AE258" s="3">
        <f t="shared" si="15"/>
        <v>137.14000000000001</v>
      </c>
      <c r="AF258" s="3">
        <v>152.19999999999999</v>
      </c>
      <c r="AG258" s="3">
        <v>138.4</v>
      </c>
      <c r="AH258">
        <v>147.69999999999999</v>
      </c>
    </row>
    <row r="259" spans="1:34" x14ac:dyDescent="0.3">
      <c r="A259" t="s">
        <v>34</v>
      </c>
      <c r="B259">
        <v>2020</v>
      </c>
      <c r="C259" t="s">
        <v>35</v>
      </c>
      <c r="D259">
        <v>144.80000000000001</v>
      </c>
      <c r="E259">
        <v>167.5</v>
      </c>
      <c r="F259">
        <v>151.80000000000001</v>
      </c>
      <c r="G259">
        <v>150.80000000000001</v>
      </c>
      <c r="H259">
        <v>131.4</v>
      </c>
      <c r="I259">
        <v>141.80000000000001</v>
      </c>
      <c r="J259">
        <v>170.7</v>
      </c>
      <c r="K259">
        <v>141.1</v>
      </c>
      <c r="L259">
        <v>113.6</v>
      </c>
      <c r="M259">
        <v>152</v>
      </c>
      <c r="N259">
        <v>136.5</v>
      </c>
      <c r="O259">
        <v>159.1</v>
      </c>
      <c r="P259">
        <v>150.5</v>
      </c>
      <c r="Q259" s="3">
        <f t="shared" si="12"/>
        <v>147.04615384615383</v>
      </c>
      <c r="R259" s="3">
        <v>170.1</v>
      </c>
      <c r="S259">
        <v>150.80000000000001</v>
      </c>
      <c r="T259">
        <v>141.69999999999999</v>
      </c>
      <c r="U259">
        <v>149.5</v>
      </c>
      <c r="V259" s="3">
        <f t="shared" si="13"/>
        <v>147.33333333333334</v>
      </c>
      <c r="W259">
        <v>154.80000000000001</v>
      </c>
      <c r="X259" s="3">
        <f t="shared" si="14"/>
        <v>154.80000000000001</v>
      </c>
      <c r="Y259" s="3">
        <v>151.69999999999999</v>
      </c>
      <c r="Z259">
        <v>147.19999999999999</v>
      </c>
      <c r="AA259">
        <v>146.4</v>
      </c>
      <c r="AB259">
        <v>130.30000000000001</v>
      </c>
      <c r="AC259">
        <v>143.19999999999999</v>
      </c>
      <c r="AD259">
        <v>143.4</v>
      </c>
      <c r="AE259" s="3">
        <f t="shared" si="15"/>
        <v>142.1</v>
      </c>
      <c r="AF259" s="3">
        <v>156.19999999999999</v>
      </c>
      <c r="AG259" s="3">
        <v>143.6</v>
      </c>
      <c r="AH259">
        <v>149.1</v>
      </c>
    </row>
    <row r="260" spans="1:34" x14ac:dyDescent="0.3">
      <c r="A260" t="s">
        <v>30</v>
      </c>
      <c r="B260">
        <v>2020</v>
      </c>
      <c r="C260" t="s">
        <v>36</v>
      </c>
      <c r="D260">
        <v>144.4</v>
      </c>
      <c r="E260">
        <v>166.8</v>
      </c>
      <c r="F260">
        <v>147.6</v>
      </c>
      <c r="G260">
        <v>151.69999999999999</v>
      </c>
      <c r="H260">
        <v>133.30000000000001</v>
      </c>
      <c r="I260">
        <v>141.80000000000001</v>
      </c>
      <c r="J260">
        <v>152.30000000000001</v>
      </c>
      <c r="K260">
        <v>141.80000000000001</v>
      </c>
      <c r="L260">
        <v>112.6</v>
      </c>
      <c r="M260">
        <v>154</v>
      </c>
      <c r="N260">
        <v>140.1</v>
      </c>
      <c r="O260">
        <v>160</v>
      </c>
      <c r="P260">
        <v>148.19999999999999</v>
      </c>
      <c r="Q260" s="3">
        <f t="shared" si="12"/>
        <v>145.73846153846151</v>
      </c>
      <c r="R260" s="3">
        <v>170.5</v>
      </c>
      <c r="S260">
        <v>153.4</v>
      </c>
      <c r="T260">
        <v>147.6</v>
      </c>
      <c r="U260">
        <v>152.5</v>
      </c>
      <c r="V260" s="3">
        <f t="shared" si="13"/>
        <v>151.16666666666666</v>
      </c>
      <c r="W260" t="s">
        <v>32</v>
      </c>
      <c r="X260" s="3">
        <f t="shared" si="14"/>
        <v>154.5</v>
      </c>
      <c r="Y260" s="3">
        <v>156.69999999999999</v>
      </c>
      <c r="Z260">
        <v>153.4</v>
      </c>
      <c r="AA260">
        <v>151.5</v>
      </c>
      <c r="AB260">
        <v>135.80000000000001</v>
      </c>
      <c r="AC260">
        <v>151.19999999999999</v>
      </c>
      <c r="AD260">
        <v>145.1</v>
      </c>
      <c r="AE260" s="3">
        <f t="shared" si="15"/>
        <v>147.4</v>
      </c>
      <c r="AF260" s="3">
        <v>161.19999999999999</v>
      </c>
      <c r="AG260" s="3">
        <v>148.6</v>
      </c>
      <c r="AH260">
        <v>149.80000000000001</v>
      </c>
    </row>
    <row r="261" spans="1:34" x14ac:dyDescent="0.3">
      <c r="A261" t="s">
        <v>33</v>
      </c>
      <c r="B261">
        <v>2020</v>
      </c>
      <c r="C261" t="s">
        <v>36</v>
      </c>
      <c r="D261">
        <v>146.5</v>
      </c>
      <c r="E261">
        <v>167.5</v>
      </c>
      <c r="F261">
        <v>148.9</v>
      </c>
      <c r="G261">
        <v>151.1</v>
      </c>
      <c r="H261">
        <v>127.5</v>
      </c>
      <c r="I261">
        <v>143.30000000000001</v>
      </c>
      <c r="J261">
        <v>167</v>
      </c>
      <c r="K261">
        <v>139.69999999999999</v>
      </c>
      <c r="L261">
        <v>114.4</v>
      </c>
      <c r="M261">
        <v>151.5</v>
      </c>
      <c r="N261">
        <v>131.9</v>
      </c>
      <c r="O261">
        <v>159.1</v>
      </c>
      <c r="P261">
        <v>150.1</v>
      </c>
      <c r="Q261" s="3">
        <f t="shared" si="12"/>
        <v>146.03846153846155</v>
      </c>
      <c r="R261" s="3">
        <v>173.3</v>
      </c>
      <c r="S261">
        <v>147.69999999999999</v>
      </c>
      <c r="T261">
        <v>133.80000000000001</v>
      </c>
      <c r="U261">
        <v>145.6</v>
      </c>
      <c r="V261" s="3">
        <f t="shared" si="13"/>
        <v>142.36666666666667</v>
      </c>
      <c r="W261">
        <v>154.5</v>
      </c>
      <c r="X261" s="3">
        <f t="shared" si="14"/>
        <v>154.5</v>
      </c>
      <c r="Y261" s="3">
        <v>145</v>
      </c>
      <c r="Z261">
        <v>141.4</v>
      </c>
      <c r="AA261">
        <v>140.80000000000001</v>
      </c>
      <c r="AB261">
        <v>124.6</v>
      </c>
      <c r="AC261">
        <v>137.9</v>
      </c>
      <c r="AD261">
        <v>145.30000000000001</v>
      </c>
      <c r="AE261" s="3">
        <f t="shared" si="15"/>
        <v>138</v>
      </c>
      <c r="AF261" s="3">
        <v>152.5</v>
      </c>
      <c r="AG261" s="3">
        <v>138.69999999999999</v>
      </c>
      <c r="AH261">
        <v>147.30000000000001</v>
      </c>
    </row>
    <row r="262" spans="1:34" x14ac:dyDescent="0.3">
      <c r="A262" t="s">
        <v>34</v>
      </c>
      <c r="B262">
        <v>2020</v>
      </c>
      <c r="C262" t="s">
        <v>36</v>
      </c>
      <c r="D262">
        <v>145.1</v>
      </c>
      <c r="E262">
        <v>167</v>
      </c>
      <c r="F262">
        <v>148.1</v>
      </c>
      <c r="G262">
        <v>151.5</v>
      </c>
      <c r="H262">
        <v>131.19999999999999</v>
      </c>
      <c r="I262">
        <v>142.5</v>
      </c>
      <c r="J262">
        <v>157.30000000000001</v>
      </c>
      <c r="K262">
        <v>141.1</v>
      </c>
      <c r="L262">
        <v>113.2</v>
      </c>
      <c r="M262">
        <v>153.19999999999999</v>
      </c>
      <c r="N262">
        <v>136.69999999999999</v>
      </c>
      <c r="O262">
        <v>159.6</v>
      </c>
      <c r="P262">
        <v>148.9</v>
      </c>
      <c r="Q262" s="3">
        <f t="shared" ref="Q262:Q325" si="18">AVERAGE(D262:P262)</f>
        <v>145.80000000000001</v>
      </c>
      <c r="R262" s="3">
        <v>171.2</v>
      </c>
      <c r="S262">
        <v>151.19999999999999</v>
      </c>
      <c r="T262">
        <v>141.9</v>
      </c>
      <c r="U262">
        <v>149.80000000000001</v>
      </c>
      <c r="V262" s="3">
        <f t="shared" ref="V262:V325" si="19">AVERAGE(S262:U262)</f>
        <v>147.63333333333335</v>
      </c>
      <c r="W262">
        <v>154.5</v>
      </c>
      <c r="X262" s="3">
        <f t="shared" ref="X262:X325" si="20">IF(W262="NA",W263,W262)</f>
        <v>154.5</v>
      </c>
      <c r="Y262" s="3">
        <v>152.30000000000001</v>
      </c>
      <c r="Z262">
        <v>148.9</v>
      </c>
      <c r="AA262">
        <v>146.4</v>
      </c>
      <c r="AB262">
        <v>129.9</v>
      </c>
      <c r="AC262">
        <v>143.69999999999999</v>
      </c>
      <c r="AD262">
        <v>145.19999999999999</v>
      </c>
      <c r="AE262" s="3">
        <f t="shared" ref="AE262:AE325" si="21">AVERAGE(Z262:AD262)</f>
        <v>142.82000000000002</v>
      </c>
      <c r="AF262" s="3">
        <v>156.1</v>
      </c>
      <c r="AG262" s="3">
        <v>143.80000000000001</v>
      </c>
      <c r="AH262">
        <v>148.6</v>
      </c>
    </row>
    <row r="263" spans="1:34" x14ac:dyDescent="0.3">
      <c r="A263" t="s">
        <v>30</v>
      </c>
      <c r="B263">
        <v>2020</v>
      </c>
      <c r="C263" t="s">
        <v>37</v>
      </c>
      <c r="D263">
        <v>147.19999999999999</v>
      </c>
      <c r="E263" s="2">
        <f>AVERAGE(E257:E262,E269:E274)</f>
        <v>180.32500000000002</v>
      </c>
      <c r="F263">
        <v>146.9</v>
      </c>
      <c r="G263">
        <v>155.6</v>
      </c>
      <c r="H263">
        <v>137.1</v>
      </c>
      <c r="I263">
        <v>147.30000000000001</v>
      </c>
      <c r="J263">
        <v>162.69999999999999</v>
      </c>
      <c r="K263">
        <v>150.19999999999999</v>
      </c>
      <c r="L263">
        <v>119.8</v>
      </c>
      <c r="M263">
        <v>158.69999999999999</v>
      </c>
      <c r="N263">
        <v>139.19999999999999</v>
      </c>
      <c r="O263" s="2">
        <f>AVERAGE(O257:O262,O269:O274)</f>
        <v>160.54999999999998</v>
      </c>
      <c r="P263">
        <v>150.1</v>
      </c>
      <c r="Q263" s="3">
        <f t="shared" si="18"/>
        <v>150.43653846153845</v>
      </c>
      <c r="R263" s="3">
        <f>AVERAGE(R257:R262,R269:R274)</f>
        <v>177.64166666666668</v>
      </c>
      <c r="S263" s="2">
        <f t="shared" ref="S263:U263" si="22">AVERAGE(S257:S262,S269:S274)</f>
        <v>151.33333333333334</v>
      </c>
      <c r="T263" s="2">
        <f t="shared" si="22"/>
        <v>142.33333333333334</v>
      </c>
      <c r="U263" s="2">
        <f t="shared" si="22"/>
        <v>150.02500000000001</v>
      </c>
      <c r="V263" s="3">
        <f t="shared" si="19"/>
        <v>147.89722222222224</v>
      </c>
      <c r="W263" t="s">
        <v>32</v>
      </c>
      <c r="X263" s="3">
        <f t="shared" si="20"/>
        <v>155.6</v>
      </c>
      <c r="Y263" s="3">
        <v>154.30000000000001</v>
      </c>
      <c r="Z263">
        <v>148.4</v>
      </c>
      <c r="AA263" s="2">
        <f>AVERAGE(AA257:AA262,AA269:AA274)</f>
        <v>146.19166666666669</v>
      </c>
      <c r="AB263" s="2">
        <f>AVERAGE(AB257:AB262,AB269:AB274)</f>
        <v>132.76666666666668</v>
      </c>
      <c r="AC263" s="2">
        <f t="shared" ref="AC263:AH263" si="23">AVERAGE(AC257:AC262,AC269:AC274)</f>
        <v>146.34166666666667</v>
      </c>
      <c r="AD263" s="2">
        <f>AVERAGE(AD257:AD262,AD269:AD274)</f>
        <v>147.99166666666667</v>
      </c>
      <c r="AE263" s="3">
        <f t="shared" si="21"/>
        <v>144.33833333333334</v>
      </c>
      <c r="AF263" s="3">
        <f t="shared" si="23"/>
        <v>156.79166666666669</v>
      </c>
      <c r="AG263" s="3">
        <f t="shared" si="23"/>
        <v>145.24166666666667</v>
      </c>
      <c r="AH263" s="2">
        <f t="shared" si="23"/>
        <v>150.29166666666666</v>
      </c>
    </row>
    <row r="264" spans="1:34" x14ac:dyDescent="0.3">
      <c r="A264" t="s">
        <v>33</v>
      </c>
      <c r="B264">
        <v>2020</v>
      </c>
      <c r="C264" t="s">
        <v>37</v>
      </c>
      <c r="D264">
        <v>151.80000000000001</v>
      </c>
      <c r="E264" s="2">
        <f t="shared" ref="E264:E268" si="24">AVERAGE(E258:E263,E270:E275)</f>
        <v>181.13541666666666</v>
      </c>
      <c r="F264">
        <v>151.9</v>
      </c>
      <c r="G264">
        <v>155.5</v>
      </c>
      <c r="H264">
        <v>131.6</v>
      </c>
      <c r="I264">
        <v>152.9</v>
      </c>
      <c r="J264">
        <v>180</v>
      </c>
      <c r="K264">
        <v>150.80000000000001</v>
      </c>
      <c r="L264">
        <v>121.2</v>
      </c>
      <c r="M264">
        <v>154</v>
      </c>
      <c r="N264">
        <v>133.5</v>
      </c>
      <c r="O264" s="2">
        <f t="shared" ref="O264:O268" si="25">AVERAGE(O258:O263,O270:O275)</f>
        <v>160.63749999999999</v>
      </c>
      <c r="P264">
        <v>153.5</v>
      </c>
      <c r="Q264" s="3">
        <f t="shared" si="18"/>
        <v>152.19022435897438</v>
      </c>
      <c r="R264" s="3">
        <f t="shared" ref="R264:R268" si="26">AVERAGE(R258:R263,R270:R275)</f>
        <v>178.20347222222225</v>
      </c>
      <c r="S264" s="2">
        <f t="shared" ref="S264:S268" si="27">AVERAGE(S258:S263,S270:S275)</f>
        <v>151.22777777777779</v>
      </c>
      <c r="T264" s="2">
        <f t="shared" ref="T264:T268" si="28">AVERAGE(T258:T263,T270:T275)</f>
        <v>141.84444444444443</v>
      </c>
      <c r="U264" s="2">
        <f t="shared" ref="U264:U268" si="29">AVERAGE(U258:U263,U270:U275)</f>
        <v>149.85208333333333</v>
      </c>
      <c r="V264" s="3">
        <f t="shared" si="19"/>
        <v>147.64143518518517</v>
      </c>
      <c r="W264">
        <v>155.6</v>
      </c>
      <c r="X264" s="3">
        <f t="shared" si="20"/>
        <v>155.6</v>
      </c>
      <c r="Y264" s="3">
        <v>144.80000000000001</v>
      </c>
      <c r="Z264">
        <v>137.1</v>
      </c>
      <c r="AA264" s="2">
        <f t="shared" ref="Y264:AA268" si="30">AVERAGE(AA258:AA263,AA270:AA275)</f>
        <v>145.74097222222227</v>
      </c>
      <c r="AB264" s="2">
        <f t="shared" ref="AB264:AB268" si="31">AVERAGE(AB258:AB263,AB270:AB275)</f>
        <v>132.68055555555554</v>
      </c>
      <c r="AC264" s="2">
        <f t="shared" ref="AC264:AC268" si="32">AVERAGE(AC258:AC263,AC270:AC275)</f>
        <v>145.92013888888889</v>
      </c>
      <c r="AD264" s="2">
        <f t="shared" ref="AD264:AD268" si="33">AVERAGE(AD258:AD263,AD270:AD275)</f>
        <v>148.57430555555553</v>
      </c>
      <c r="AE264" s="3">
        <f t="shared" si="21"/>
        <v>142.00319444444443</v>
      </c>
      <c r="AF264" s="3">
        <f t="shared" ref="AF264:AF268" si="34">AVERAGE(AF258:AF263,AF270:AF275)</f>
        <v>156.44097222222223</v>
      </c>
      <c r="AG264" s="3">
        <f t="shared" ref="AG264:AG268" si="35">AVERAGE(AG258:AG263,AG270:AG275)</f>
        <v>145.08680555555557</v>
      </c>
      <c r="AH264" s="2">
        <f t="shared" ref="AH264:AH268" si="36">AVERAGE(AH258:AH263,AH270:AH275)</f>
        <v>150.44930555555555</v>
      </c>
    </row>
    <row r="265" spans="1:34" x14ac:dyDescent="0.3">
      <c r="A265" t="s">
        <v>34</v>
      </c>
      <c r="B265">
        <v>2020</v>
      </c>
      <c r="C265" t="s">
        <v>37</v>
      </c>
      <c r="D265">
        <v>148.69999999999999</v>
      </c>
      <c r="E265" s="2">
        <f t="shared" si="24"/>
        <v>182.33003472222222</v>
      </c>
      <c r="F265">
        <v>148.80000000000001</v>
      </c>
      <c r="G265">
        <v>155.6</v>
      </c>
      <c r="H265">
        <v>135.1</v>
      </c>
      <c r="I265">
        <v>149.9</v>
      </c>
      <c r="J265">
        <v>168.6</v>
      </c>
      <c r="K265">
        <v>150.4</v>
      </c>
      <c r="L265">
        <v>120.3</v>
      </c>
      <c r="M265">
        <v>157.1</v>
      </c>
      <c r="N265">
        <v>136.80000000000001</v>
      </c>
      <c r="O265" s="2">
        <f t="shared" si="25"/>
        <v>160.90729166666665</v>
      </c>
      <c r="P265">
        <v>151.4</v>
      </c>
      <c r="Q265" s="3">
        <f t="shared" si="18"/>
        <v>151.22594818376066</v>
      </c>
      <c r="R265" s="3">
        <f t="shared" si="26"/>
        <v>178.76209490740743</v>
      </c>
      <c r="S265" s="2">
        <f t="shared" si="27"/>
        <v>151.63009259259258</v>
      </c>
      <c r="T265" s="2">
        <f t="shared" si="28"/>
        <v>142.42314814814816</v>
      </c>
      <c r="U265" s="2">
        <f t="shared" si="29"/>
        <v>150.28975694444446</v>
      </c>
      <c r="V265" s="3">
        <f t="shared" si="19"/>
        <v>148.11433256172839</v>
      </c>
      <c r="W265">
        <v>155.6</v>
      </c>
      <c r="X265" s="3">
        <f t="shared" si="20"/>
        <v>155.6</v>
      </c>
      <c r="Y265" s="3">
        <v>150.69999999999999</v>
      </c>
      <c r="Z265">
        <v>144.1</v>
      </c>
      <c r="AA265" s="2">
        <f t="shared" si="30"/>
        <v>146.52771990740743</v>
      </c>
      <c r="AB265" s="2">
        <f t="shared" si="31"/>
        <v>133.68726851851852</v>
      </c>
      <c r="AC265" s="2">
        <f t="shared" si="32"/>
        <v>146.33015046296296</v>
      </c>
      <c r="AD265" s="2">
        <f t="shared" si="33"/>
        <v>149.24716435185184</v>
      </c>
      <c r="AE265" s="3">
        <f t="shared" si="21"/>
        <v>143.97846064814817</v>
      </c>
      <c r="AF265" s="3">
        <f t="shared" si="34"/>
        <v>157.04438657407408</v>
      </c>
      <c r="AG265" s="3">
        <f t="shared" si="35"/>
        <v>145.87737268518518</v>
      </c>
      <c r="AH265" s="2">
        <f t="shared" si="36"/>
        <v>150.85341435185185</v>
      </c>
    </row>
    <row r="266" spans="1:34" x14ac:dyDescent="0.3">
      <c r="A266" t="s">
        <v>30</v>
      </c>
      <c r="B266">
        <v>2020</v>
      </c>
      <c r="C266" t="s">
        <v>38</v>
      </c>
      <c r="D266">
        <f>AVERAGE(D260:D265,D269:D274)</f>
        <v>148.72499999999999</v>
      </c>
      <c r="E266" s="2">
        <f t="shared" si="24"/>
        <v>183.41587094907405</v>
      </c>
      <c r="F266" s="2">
        <f>AVERAGE(F260:F265,F269:F274)</f>
        <v>150.25000000000003</v>
      </c>
      <c r="G266" s="2">
        <f>AVERAGE(G260:G265,G269:G274)</f>
        <v>153.41666666666666</v>
      </c>
      <c r="H266" s="2">
        <f>AVERAGE(H260:H265,H269:H274)</f>
        <v>134.21666666666667</v>
      </c>
      <c r="I266" s="2">
        <f>AVERAGE(I260:I265,I269:I274)</f>
        <v>146.84166666666667</v>
      </c>
      <c r="J266" s="2">
        <f t="shared" ref="J266:N266" si="37">AVERAGE(J260:J265,J269:J274)</f>
        <v>161.75833333333335</v>
      </c>
      <c r="K266" s="2">
        <f t="shared" si="37"/>
        <v>148.36666666666667</v>
      </c>
      <c r="L266" s="2">
        <f t="shared" si="37"/>
        <v>115.74166666666667</v>
      </c>
      <c r="M266" s="2">
        <f t="shared" si="37"/>
        <v>157.05833333333331</v>
      </c>
      <c r="N266" s="2">
        <f t="shared" si="37"/>
        <v>137.70000000000002</v>
      </c>
      <c r="O266" s="2">
        <f t="shared" si="25"/>
        <v>161.09956597222222</v>
      </c>
      <c r="P266" s="2">
        <f>AVERAGE(P260:P265,P269:P274)</f>
        <v>152.4</v>
      </c>
      <c r="Q266" s="3">
        <f t="shared" si="18"/>
        <v>150.07618745548436</v>
      </c>
      <c r="R266" s="3">
        <f t="shared" si="26"/>
        <v>179.40893614969139</v>
      </c>
      <c r="S266" s="2">
        <f t="shared" si="27"/>
        <v>151.74926697530861</v>
      </c>
      <c r="T266" s="2">
        <f t="shared" si="28"/>
        <v>142.40007716049385</v>
      </c>
      <c r="U266" s="2">
        <f t="shared" si="29"/>
        <v>150.38057002314815</v>
      </c>
      <c r="V266" s="3">
        <f t="shared" si="19"/>
        <v>148.17663805298355</v>
      </c>
      <c r="W266" t="s">
        <v>32</v>
      </c>
      <c r="X266" s="3">
        <f>AVERAGE(X260:X265,X269:X274)</f>
        <v>154.87500000000003</v>
      </c>
      <c r="Y266" s="3">
        <f t="shared" si="30"/>
        <v>152.25</v>
      </c>
      <c r="Z266" s="2">
        <f>AVERAGE(Z260:Z265,Z269:Z274)</f>
        <v>143.42500000000001</v>
      </c>
      <c r="AA266" s="2">
        <f t="shared" si="30"/>
        <v>146.7050298996914</v>
      </c>
      <c r="AB266" s="2">
        <f t="shared" si="31"/>
        <v>134.26120756172838</v>
      </c>
      <c r="AC266" s="2">
        <f t="shared" si="32"/>
        <v>146.39932966820987</v>
      </c>
      <c r="AD266" s="2">
        <f t="shared" si="33"/>
        <v>149.95942804783951</v>
      </c>
      <c r="AE266" s="3">
        <f t="shared" si="21"/>
        <v>144.14999903549383</v>
      </c>
      <c r="AF266" s="3">
        <f t="shared" si="34"/>
        <v>157.28975212191361</v>
      </c>
      <c r="AG266" s="3">
        <f t="shared" si="35"/>
        <v>146.23382040895061</v>
      </c>
      <c r="AH266" s="2">
        <f t="shared" si="36"/>
        <v>151.17453221450617</v>
      </c>
    </row>
    <row r="267" spans="1:34" x14ac:dyDescent="0.3">
      <c r="A267" t="s">
        <v>33</v>
      </c>
      <c r="B267">
        <v>2020</v>
      </c>
      <c r="C267" t="s">
        <v>38</v>
      </c>
      <c r="D267">
        <f t="shared" ref="D267:D268" si="38">AVERAGE(D261:D266,D270:D275)</f>
        <v>149.03541666666663</v>
      </c>
      <c r="E267" s="2">
        <f t="shared" si="24"/>
        <v>184.2671935281636</v>
      </c>
      <c r="F267" s="2">
        <f t="shared" ref="F267:F268" si="39">AVERAGE(F261:F266,F270:F275)</f>
        <v>150.38750000000002</v>
      </c>
      <c r="G267" s="2">
        <f t="shared" ref="G267:G268" si="40">AVERAGE(G261:G266,G270:G275)</f>
        <v>153.55972222222223</v>
      </c>
      <c r="H267" s="2">
        <f t="shared" ref="H267:H268" si="41">AVERAGE(H261:H266,H270:H275)</f>
        <v>134.42638888888891</v>
      </c>
      <c r="I267" s="2">
        <f t="shared" ref="I267:I268" si="42">AVERAGE(I261:I266,I270:I275)</f>
        <v>147.57013888888892</v>
      </c>
      <c r="J267" s="2">
        <f t="shared" ref="J267:J268" si="43">AVERAGE(J261:J266,J270:J275)</f>
        <v>164.38819444444445</v>
      </c>
      <c r="K267" s="2">
        <f t="shared" ref="K267:K268" si="44">AVERAGE(K261:K266,K270:K275)</f>
        <v>148.88055555555556</v>
      </c>
      <c r="L267" s="2">
        <f t="shared" ref="L267:L268" si="45">AVERAGE(L261:L266,L270:L275)</f>
        <v>116.08680555555556</v>
      </c>
      <c r="M267" s="2">
        <f t="shared" ref="M267:M268" si="46">AVERAGE(M261:M266,M270:M275)</f>
        <v>157.32986111111111</v>
      </c>
      <c r="N267" s="2">
        <f t="shared" ref="N267:N268" si="47">AVERAGE(N261:N266,N270:N275)</f>
        <v>137.61666666666665</v>
      </c>
      <c r="O267" s="2">
        <f t="shared" si="25"/>
        <v>161.17452980324072</v>
      </c>
      <c r="P267" s="2">
        <f t="shared" ref="P267:P268" si="48">AVERAGE(P261:P266,P270:P275)</f>
        <v>153</v>
      </c>
      <c r="Q267" s="3">
        <f t="shared" si="18"/>
        <v>150.59407487164648</v>
      </c>
      <c r="R267" s="3">
        <f t="shared" si="26"/>
        <v>180.19301416216567</v>
      </c>
      <c r="S267" s="2">
        <f t="shared" si="27"/>
        <v>151.67003922325102</v>
      </c>
      <c r="T267" s="2">
        <f t="shared" si="28"/>
        <v>141.95841692386833</v>
      </c>
      <c r="U267" s="2">
        <f t="shared" si="29"/>
        <v>150.24561752507717</v>
      </c>
      <c r="V267" s="3">
        <f t="shared" si="19"/>
        <v>147.95802455739883</v>
      </c>
      <c r="W267" t="s">
        <v>32</v>
      </c>
      <c r="X267" s="3">
        <f t="shared" ref="X267:Z267" si="49">AVERAGE(X261:X266,X270:X275)</f>
        <v>154.97291666666669</v>
      </c>
      <c r="Y267" s="3">
        <f t="shared" si="30"/>
        <v>151.95416666666668</v>
      </c>
      <c r="Z267" s="2">
        <f t="shared" si="49"/>
        <v>142.66875000000002</v>
      </c>
      <c r="AA267" s="2">
        <f t="shared" ref="AA267:AA268" si="50">AVERAGE(AA261:AA266,AA273:AA278)</f>
        <v>146.29711572466564</v>
      </c>
      <c r="AB267" s="2">
        <f t="shared" si="31"/>
        <v>134.39964152520574</v>
      </c>
      <c r="AC267" s="2">
        <f t="shared" si="32"/>
        <v>145.96594047389405</v>
      </c>
      <c r="AD267" s="2">
        <f t="shared" si="33"/>
        <v>150.88104705182613</v>
      </c>
      <c r="AE267" s="3">
        <f t="shared" si="21"/>
        <v>144.04249895511833</v>
      </c>
      <c r="AF267" s="3">
        <f t="shared" si="34"/>
        <v>156.90556479873973</v>
      </c>
      <c r="AG267" s="3">
        <f t="shared" si="35"/>
        <v>146.20330544302985</v>
      </c>
      <c r="AH267" s="2">
        <f t="shared" si="36"/>
        <v>151.51407656571504</v>
      </c>
    </row>
    <row r="268" spans="1:34" x14ac:dyDescent="0.3">
      <c r="A268" t="s">
        <v>34</v>
      </c>
      <c r="B268">
        <v>2020</v>
      </c>
      <c r="C268" t="s">
        <v>38</v>
      </c>
      <c r="D268">
        <f t="shared" si="38"/>
        <v>149.15503472222221</v>
      </c>
      <c r="E268" s="2">
        <f t="shared" si="24"/>
        <v>185.33945965551058</v>
      </c>
      <c r="F268" s="2">
        <f t="shared" si="39"/>
        <v>150.50312500000004</v>
      </c>
      <c r="G268" s="2">
        <f t="shared" si="40"/>
        <v>153.76469907407409</v>
      </c>
      <c r="H268" s="2">
        <f t="shared" si="41"/>
        <v>135.04525462962965</v>
      </c>
      <c r="I268" s="2">
        <f t="shared" si="42"/>
        <v>148.15098379629632</v>
      </c>
      <c r="J268" s="2">
        <f t="shared" si="43"/>
        <v>165.8955439814815</v>
      </c>
      <c r="K268" s="2">
        <f t="shared" si="44"/>
        <v>149.58726851851853</v>
      </c>
      <c r="L268" s="2">
        <f t="shared" si="45"/>
        <v>116.26903935185186</v>
      </c>
      <c r="M268" s="2">
        <f t="shared" si="46"/>
        <v>157.91568287037035</v>
      </c>
      <c r="N268" s="2">
        <f t="shared" si="47"/>
        <v>138.16805555555555</v>
      </c>
      <c r="O268" s="2">
        <f t="shared" si="25"/>
        <v>161.57240728684411</v>
      </c>
      <c r="P268" s="2">
        <f t="shared" si="48"/>
        <v>153.48333333333332</v>
      </c>
      <c r="Q268" s="3">
        <f t="shared" si="18"/>
        <v>151.14229905966835</v>
      </c>
      <c r="R268" s="3">
        <f t="shared" si="26"/>
        <v>180.93409867567945</v>
      </c>
      <c r="S268" s="2">
        <f t="shared" si="27"/>
        <v>152.09254249185526</v>
      </c>
      <c r="T268" s="2">
        <f t="shared" si="28"/>
        <v>142.61328500085736</v>
      </c>
      <c r="U268" s="2">
        <f t="shared" si="29"/>
        <v>150.70775231883357</v>
      </c>
      <c r="V268" s="3">
        <f t="shared" si="19"/>
        <v>148.47119327051539</v>
      </c>
      <c r="W268" t="s">
        <v>32</v>
      </c>
      <c r="X268" s="3">
        <f t="shared" ref="X268:Z268" si="51">AVERAGE(X262:X267,X271:X276)</f>
        <v>155.07899305555557</v>
      </c>
      <c r="Y268" s="3">
        <f t="shared" si="30"/>
        <v>152.69201388888888</v>
      </c>
      <c r="Z268" s="2">
        <f t="shared" si="51"/>
        <v>142.87447916666665</v>
      </c>
      <c r="AA268" s="2">
        <f t="shared" si="50"/>
        <v>147.17187536838782</v>
      </c>
      <c r="AB268" s="2">
        <f t="shared" si="31"/>
        <v>135.69961165230623</v>
      </c>
      <c r="AC268" s="2">
        <f t="shared" si="32"/>
        <v>146.41310218005188</v>
      </c>
      <c r="AD268" s="2">
        <f t="shared" si="33"/>
        <v>151.97946763947832</v>
      </c>
      <c r="AE268" s="3">
        <f t="shared" si="21"/>
        <v>144.82770720137816</v>
      </c>
      <c r="AF268" s="3">
        <f t="shared" si="34"/>
        <v>157.47269519863468</v>
      </c>
      <c r="AG268" s="3">
        <f t="shared" si="35"/>
        <v>147.16191422994899</v>
      </c>
      <c r="AH268" s="2">
        <f t="shared" si="36"/>
        <v>152.13191627952463</v>
      </c>
    </row>
    <row r="269" spans="1:34" x14ac:dyDescent="0.3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 s="3">
        <f t="shared" si="18"/>
        <v>150.07692307692307</v>
      </c>
      <c r="R269" s="3">
        <v>182.4</v>
      </c>
      <c r="S269">
        <v>154.69999999999999</v>
      </c>
      <c r="T269">
        <v>150</v>
      </c>
      <c r="U269">
        <v>154.1</v>
      </c>
      <c r="V269" s="3">
        <f t="shared" si="19"/>
        <v>152.93333333333331</v>
      </c>
      <c r="W269" t="s">
        <v>32</v>
      </c>
      <c r="X269" s="3">
        <f t="shared" si="20"/>
        <v>154.69999999999999</v>
      </c>
      <c r="Y269" s="3">
        <v>158.19999999999999</v>
      </c>
      <c r="Z269">
        <v>144.9</v>
      </c>
      <c r="AA269">
        <v>151.69999999999999</v>
      </c>
      <c r="AB269">
        <v>141.4</v>
      </c>
      <c r="AC269">
        <v>153.19999999999999</v>
      </c>
      <c r="AD269">
        <v>151.19999999999999</v>
      </c>
      <c r="AE269" s="3">
        <f t="shared" si="21"/>
        <v>148.48000000000002</v>
      </c>
      <c r="AF269" s="3">
        <v>161.80000000000001</v>
      </c>
      <c r="AG269" s="3">
        <v>151.69999999999999</v>
      </c>
      <c r="AH269">
        <v>152.69999999999999</v>
      </c>
    </row>
    <row r="270" spans="1:34" x14ac:dyDescent="0.3">
      <c r="A270" t="s">
        <v>33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 s="3">
        <f t="shared" si="18"/>
        <v>153.46153846153845</v>
      </c>
      <c r="R270" s="3">
        <v>186.7</v>
      </c>
      <c r="S270">
        <v>149.1</v>
      </c>
      <c r="T270">
        <v>136.6</v>
      </c>
      <c r="U270">
        <v>147.19999999999999</v>
      </c>
      <c r="V270" s="3">
        <f t="shared" si="19"/>
        <v>144.29999999999998</v>
      </c>
      <c r="W270">
        <v>154.69999999999999</v>
      </c>
      <c r="X270" s="3">
        <f t="shared" si="20"/>
        <v>154.69999999999999</v>
      </c>
      <c r="Y270" s="3">
        <v>148.1</v>
      </c>
      <c r="Z270">
        <v>137.1</v>
      </c>
      <c r="AA270">
        <v>140.4</v>
      </c>
      <c r="AB270">
        <v>129.30000000000001</v>
      </c>
      <c r="AC270">
        <v>144.5</v>
      </c>
      <c r="AD270">
        <v>152.19999999999999</v>
      </c>
      <c r="AE270" s="3">
        <f t="shared" si="21"/>
        <v>140.69999999999999</v>
      </c>
      <c r="AF270" s="3">
        <v>152.5</v>
      </c>
      <c r="AG270" s="3">
        <v>142</v>
      </c>
      <c r="AH270">
        <v>150.80000000000001</v>
      </c>
    </row>
    <row r="271" spans="1:34" x14ac:dyDescent="0.3">
      <c r="A271" t="s">
        <v>34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 s="3">
        <f t="shared" si="18"/>
        <v>151.2923076923077</v>
      </c>
      <c r="R271" s="3">
        <v>183.5</v>
      </c>
      <c r="S271">
        <v>152.5</v>
      </c>
      <c r="T271">
        <v>144.4</v>
      </c>
      <c r="U271">
        <v>151.4</v>
      </c>
      <c r="V271" s="3">
        <f t="shared" si="19"/>
        <v>149.43333333333331</v>
      </c>
      <c r="W271">
        <v>154.69999999999999</v>
      </c>
      <c r="X271" s="3">
        <f t="shared" si="20"/>
        <v>154.69999999999999</v>
      </c>
      <c r="Y271" s="3">
        <v>154.4</v>
      </c>
      <c r="Z271">
        <v>141.9</v>
      </c>
      <c r="AA271">
        <v>146.4</v>
      </c>
      <c r="AB271">
        <v>135</v>
      </c>
      <c r="AC271">
        <v>148.30000000000001</v>
      </c>
      <c r="AD271">
        <v>151.6</v>
      </c>
      <c r="AE271" s="3">
        <f t="shared" si="21"/>
        <v>144.64000000000001</v>
      </c>
      <c r="AF271" s="3">
        <v>156.4</v>
      </c>
      <c r="AG271" s="3">
        <v>147</v>
      </c>
      <c r="AH271">
        <v>151.80000000000001</v>
      </c>
    </row>
    <row r="272" spans="1:34" x14ac:dyDescent="0.3">
      <c r="A272" t="s">
        <v>30</v>
      </c>
      <c r="B272">
        <v>2020</v>
      </c>
      <c r="C272" t="s">
        <v>40</v>
      </c>
      <c r="D272">
        <v>148.19999999999999</v>
      </c>
      <c r="E272">
        <v>190.3</v>
      </c>
      <c r="F272">
        <v>149.4</v>
      </c>
      <c r="G272">
        <v>153.30000000000001</v>
      </c>
      <c r="H272">
        <v>138.19999999999999</v>
      </c>
      <c r="I272">
        <v>143.19999999999999</v>
      </c>
      <c r="J272">
        <v>148.9</v>
      </c>
      <c r="K272">
        <v>150.30000000000001</v>
      </c>
      <c r="L272">
        <v>113.2</v>
      </c>
      <c r="M272">
        <v>159.80000000000001</v>
      </c>
      <c r="N272">
        <v>142.1</v>
      </c>
      <c r="O272">
        <v>161.80000000000001</v>
      </c>
      <c r="P272">
        <v>152.30000000000001</v>
      </c>
      <c r="Q272" s="3">
        <f t="shared" si="18"/>
        <v>150.07692307692307</v>
      </c>
      <c r="R272" s="3">
        <v>182.4</v>
      </c>
      <c r="S272">
        <v>154.69999999999999</v>
      </c>
      <c r="T272">
        <v>150</v>
      </c>
      <c r="U272">
        <v>154.1</v>
      </c>
      <c r="V272" s="3">
        <f t="shared" si="19"/>
        <v>152.93333333333331</v>
      </c>
      <c r="W272" t="s">
        <v>32</v>
      </c>
      <c r="X272" s="3">
        <f t="shared" si="20"/>
        <v>154.69999999999999</v>
      </c>
      <c r="Y272" s="3">
        <v>158.19999999999999</v>
      </c>
      <c r="Z272">
        <v>144.9</v>
      </c>
      <c r="AA272">
        <v>151.69999999999999</v>
      </c>
      <c r="AB272">
        <v>141.4</v>
      </c>
      <c r="AC272">
        <v>153.19999999999999</v>
      </c>
      <c r="AD272">
        <v>151.19999999999999</v>
      </c>
      <c r="AE272" s="3">
        <f t="shared" si="21"/>
        <v>148.48000000000002</v>
      </c>
      <c r="AF272" s="3">
        <v>161.80000000000001</v>
      </c>
      <c r="AG272" s="3">
        <v>151.69999999999999</v>
      </c>
      <c r="AH272">
        <v>152.69999999999999</v>
      </c>
    </row>
    <row r="273" spans="1:34" x14ac:dyDescent="0.3">
      <c r="A273" t="s">
        <v>33</v>
      </c>
      <c r="B273">
        <v>2020</v>
      </c>
      <c r="C273" t="s">
        <v>40</v>
      </c>
      <c r="D273">
        <v>152.69999999999999</v>
      </c>
      <c r="E273">
        <v>197</v>
      </c>
      <c r="F273">
        <v>154.6</v>
      </c>
      <c r="G273">
        <v>153.4</v>
      </c>
      <c r="H273">
        <v>132.9</v>
      </c>
      <c r="I273">
        <v>151.80000000000001</v>
      </c>
      <c r="J273">
        <v>171.2</v>
      </c>
      <c r="K273">
        <v>152</v>
      </c>
      <c r="L273">
        <v>116.3</v>
      </c>
      <c r="M273">
        <v>158.80000000000001</v>
      </c>
      <c r="N273">
        <v>135.6</v>
      </c>
      <c r="O273">
        <v>161.69999999999999</v>
      </c>
      <c r="P273">
        <v>157</v>
      </c>
      <c r="Q273" s="3">
        <f t="shared" si="18"/>
        <v>153.46153846153845</v>
      </c>
      <c r="R273" s="3">
        <v>186.7</v>
      </c>
      <c r="S273">
        <v>149.1</v>
      </c>
      <c r="T273">
        <v>136.6</v>
      </c>
      <c r="U273">
        <v>147.19999999999999</v>
      </c>
      <c r="V273" s="3">
        <f t="shared" si="19"/>
        <v>144.29999999999998</v>
      </c>
      <c r="W273">
        <v>154.69999999999999</v>
      </c>
      <c r="X273" s="3">
        <f t="shared" si="20"/>
        <v>154.69999999999999</v>
      </c>
      <c r="Y273" s="3">
        <v>148.1</v>
      </c>
      <c r="Z273">
        <v>137.1</v>
      </c>
      <c r="AA273">
        <v>140.4</v>
      </c>
      <c r="AB273">
        <v>129.30000000000001</v>
      </c>
      <c r="AC273">
        <v>144.5</v>
      </c>
      <c r="AD273">
        <v>152.19999999999999</v>
      </c>
      <c r="AE273" s="3">
        <f t="shared" si="21"/>
        <v>140.69999999999999</v>
      </c>
      <c r="AF273" s="3">
        <v>152.5</v>
      </c>
      <c r="AG273" s="3">
        <v>142</v>
      </c>
      <c r="AH273">
        <v>150.80000000000001</v>
      </c>
    </row>
    <row r="274" spans="1:34" x14ac:dyDescent="0.3">
      <c r="A274" t="s">
        <v>34</v>
      </c>
      <c r="B274">
        <v>2020</v>
      </c>
      <c r="C274" t="s">
        <v>40</v>
      </c>
      <c r="D274">
        <v>149.6</v>
      </c>
      <c r="E274">
        <v>192.7</v>
      </c>
      <c r="F274">
        <v>151.4</v>
      </c>
      <c r="G274">
        <v>153.30000000000001</v>
      </c>
      <c r="H274">
        <v>136.30000000000001</v>
      </c>
      <c r="I274">
        <v>147.19999999999999</v>
      </c>
      <c r="J274">
        <v>156.5</v>
      </c>
      <c r="K274">
        <v>150.9</v>
      </c>
      <c r="L274">
        <v>114.2</v>
      </c>
      <c r="M274">
        <v>159.5</v>
      </c>
      <c r="N274">
        <v>139.4</v>
      </c>
      <c r="O274">
        <v>161.80000000000001</v>
      </c>
      <c r="P274">
        <v>154</v>
      </c>
      <c r="Q274" s="3">
        <f t="shared" si="18"/>
        <v>151.2923076923077</v>
      </c>
      <c r="R274" s="3">
        <v>183.5</v>
      </c>
      <c r="S274">
        <v>152.5</v>
      </c>
      <c r="T274">
        <v>144.4</v>
      </c>
      <c r="U274">
        <v>151.4</v>
      </c>
      <c r="V274" s="3">
        <f t="shared" si="19"/>
        <v>149.43333333333331</v>
      </c>
      <c r="W274">
        <v>154.69999999999999</v>
      </c>
      <c r="X274" s="3">
        <f t="shared" si="20"/>
        <v>154.69999999999999</v>
      </c>
      <c r="Y274" s="3">
        <v>154.4</v>
      </c>
      <c r="Z274">
        <v>141.9</v>
      </c>
      <c r="AA274">
        <v>146.4</v>
      </c>
      <c r="AB274">
        <v>135</v>
      </c>
      <c r="AC274">
        <v>148.30000000000001</v>
      </c>
      <c r="AD274">
        <v>151.6</v>
      </c>
      <c r="AE274" s="3">
        <f t="shared" si="21"/>
        <v>144.64000000000001</v>
      </c>
      <c r="AF274" s="3">
        <v>156.4</v>
      </c>
      <c r="AG274" s="3">
        <v>147</v>
      </c>
      <c r="AH274">
        <v>151.80000000000001</v>
      </c>
    </row>
    <row r="275" spans="1:34" x14ac:dyDescent="0.3">
      <c r="A275" t="s">
        <v>30</v>
      </c>
      <c r="B275">
        <v>2020</v>
      </c>
      <c r="C275" t="s">
        <v>41</v>
      </c>
      <c r="D275">
        <v>147.6</v>
      </c>
      <c r="E275">
        <v>187.2</v>
      </c>
      <c r="F275">
        <v>148.4</v>
      </c>
      <c r="G275">
        <v>153.30000000000001</v>
      </c>
      <c r="H275">
        <v>139.80000000000001</v>
      </c>
      <c r="I275">
        <v>146.9</v>
      </c>
      <c r="J275">
        <v>171</v>
      </c>
      <c r="K275">
        <v>149.9</v>
      </c>
      <c r="L275">
        <v>114.2</v>
      </c>
      <c r="M275">
        <v>160</v>
      </c>
      <c r="N275">
        <v>143.5</v>
      </c>
      <c r="O275">
        <v>161.5</v>
      </c>
      <c r="P275">
        <v>155.30000000000001</v>
      </c>
      <c r="Q275" s="3">
        <f t="shared" si="18"/>
        <v>152.19999999999999</v>
      </c>
      <c r="R275" s="3">
        <v>180.9</v>
      </c>
      <c r="S275">
        <v>155.1</v>
      </c>
      <c r="T275">
        <v>149.30000000000001</v>
      </c>
      <c r="U275">
        <v>154.30000000000001</v>
      </c>
      <c r="V275" s="3">
        <f t="shared" si="19"/>
        <v>152.9</v>
      </c>
      <c r="W275" t="s">
        <v>32</v>
      </c>
      <c r="X275" s="3">
        <f t="shared" si="20"/>
        <v>155.5</v>
      </c>
      <c r="Y275" s="3">
        <v>158.80000000000001</v>
      </c>
      <c r="Z275">
        <v>145.80000000000001</v>
      </c>
      <c r="AA275">
        <v>151.9</v>
      </c>
      <c r="AB275">
        <v>143.6</v>
      </c>
      <c r="AC275">
        <v>152.19999999999999</v>
      </c>
      <c r="AD275">
        <v>153.6</v>
      </c>
      <c r="AE275" s="3">
        <f t="shared" si="21"/>
        <v>149.42000000000002</v>
      </c>
      <c r="AF275" s="3">
        <v>162.69999999999999</v>
      </c>
      <c r="AG275" s="3">
        <v>153</v>
      </c>
      <c r="AH275">
        <v>154.69999999999999</v>
      </c>
    </row>
    <row r="276" spans="1:34" x14ac:dyDescent="0.3">
      <c r="A276" t="s">
        <v>33</v>
      </c>
      <c r="B276">
        <v>2020</v>
      </c>
      <c r="C276" t="s">
        <v>41</v>
      </c>
      <c r="D276">
        <v>151.6</v>
      </c>
      <c r="E276">
        <v>197.8</v>
      </c>
      <c r="F276">
        <v>154.5</v>
      </c>
      <c r="G276">
        <v>153.4</v>
      </c>
      <c r="H276">
        <v>133.4</v>
      </c>
      <c r="I276">
        <v>154.5</v>
      </c>
      <c r="J276">
        <v>191.9</v>
      </c>
      <c r="K276">
        <v>151.30000000000001</v>
      </c>
      <c r="L276">
        <v>116.8</v>
      </c>
      <c r="M276">
        <v>160</v>
      </c>
      <c r="N276">
        <v>136.5</v>
      </c>
      <c r="O276">
        <v>163.30000000000001</v>
      </c>
      <c r="P276">
        <v>159.9</v>
      </c>
      <c r="Q276" s="3">
        <f t="shared" si="18"/>
        <v>155.76153846153846</v>
      </c>
      <c r="R276" s="3">
        <v>187.2</v>
      </c>
      <c r="S276">
        <v>150</v>
      </c>
      <c r="T276">
        <v>135.19999999999999</v>
      </c>
      <c r="U276">
        <v>147.80000000000001</v>
      </c>
      <c r="V276" s="3">
        <f t="shared" si="19"/>
        <v>144.33333333333334</v>
      </c>
      <c r="W276">
        <v>155.5</v>
      </c>
      <c r="X276" s="3">
        <f t="shared" si="20"/>
        <v>155.5</v>
      </c>
      <c r="Y276" s="3">
        <v>148.69999999999999</v>
      </c>
      <c r="Z276">
        <v>138.30000000000001</v>
      </c>
      <c r="AA276">
        <v>144.5</v>
      </c>
      <c r="AB276">
        <v>133.9</v>
      </c>
      <c r="AC276">
        <v>141.19999999999999</v>
      </c>
      <c r="AD276">
        <v>155.19999999999999</v>
      </c>
      <c r="AE276" s="3">
        <f t="shared" si="21"/>
        <v>142.62000000000003</v>
      </c>
      <c r="AF276" s="3">
        <v>155.5</v>
      </c>
      <c r="AG276" s="3">
        <v>144.80000000000001</v>
      </c>
      <c r="AH276">
        <v>152.9</v>
      </c>
    </row>
    <row r="277" spans="1:34" x14ac:dyDescent="0.3">
      <c r="A277" t="s">
        <v>34</v>
      </c>
      <c r="B277">
        <v>2020</v>
      </c>
      <c r="C277" t="s">
        <v>41</v>
      </c>
      <c r="D277">
        <v>148.9</v>
      </c>
      <c r="E277">
        <v>190.9</v>
      </c>
      <c r="F277">
        <v>150.80000000000001</v>
      </c>
      <c r="G277">
        <v>153.30000000000001</v>
      </c>
      <c r="H277">
        <v>137.4</v>
      </c>
      <c r="I277">
        <v>150.4</v>
      </c>
      <c r="J277">
        <v>178.1</v>
      </c>
      <c r="K277">
        <v>150.4</v>
      </c>
      <c r="L277">
        <v>115.1</v>
      </c>
      <c r="M277">
        <v>160</v>
      </c>
      <c r="N277">
        <v>140.6</v>
      </c>
      <c r="O277">
        <v>162.30000000000001</v>
      </c>
      <c r="P277">
        <v>157</v>
      </c>
      <c r="Q277" s="3">
        <f t="shared" si="18"/>
        <v>153.47692307692307</v>
      </c>
      <c r="R277" s="3">
        <v>182.6</v>
      </c>
      <c r="S277">
        <v>153.1</v>
      </c>
      <c r="T277">
        <v>143.4</v>
      </c>
      <c r="U277">
        <v>151.69999999999999</v>
      </c>
      <c r="V277" s="3">
        <f t="shared" si="19"/>
        <v>149.4</v>
      </c>
      <c r="W277">
        <v>155.5</v>
      </c>
      <c r="X277" s="3">
        <f t="shared" si="20"/>
        <v>155.5</v>
      </c>
      <c r="Y277" s="3">
        <v>155</v>
      </c>
      <c r="Z277">
        <v>143</v>
      </c>
      <c r="AA277">
        <v>148.4</v>
      </c>
      <c r="AB277">
        <v>138.5</v>
      </c>
      <c r="AC277">
        <v>146</v>
      </c>
      <c r="AD277">
        <v>154.30000000000001</v>
      </c>
      <c r="AE277" s="3">
        <f t="shared" si="21"/>
        <v>146.04000000000002</v>
      </c>
      <c r="AF277" s="3">
        <v>158.5</v>
      </c>
      <c r="AG277" s="3">
        <v>149</v>
      </c>
      <c r="AH277">
        <v>153.9</v>
      </c>
    </row>
    <row r="278" spans="1:34" x14ac:dyDescent="0.3">
      <c r="A278" t="s">
        <v>30</v>
      </c>
      <c r="B278">
        <v>2020</v>
      </c>
      <c r="C278" t="s">
        <v>42</v>
      </c>
      <c r="D278">
        <v>146.9</v>
      </c>
      <c r="E278">
        <v>183.9</v>
      </c>
      <c r="F278">
        <v>149.5</v>
      </c>
      <c r="G278">
        <v>153.4</v>
      </c>
      <c r="H278">
        <v>140.4</v>
      </c>
      <c r="I278">
        <v>147</v>
      </c>
      <c r="J278">
        <v>178.8</v>
      </c>
      <c r="K278">
        <v>149.30000000000001</v>
      </c>
      <c r="L278">
        <v>115.1</v>
      </c>
      <c r="M278">
        <v>160</v>
      </c>
      <c r="N278">
        <v>145.4</v>
      </c>
      <c r="O278">
        <v>161.6</v>
      </c>
      <c r="P278">
        <v>156.1</v>
      </c>
      <c r="Q278" s="3">
        <f t="shared" si="18"/>
        <v>152.87692307692308</v>
      </c>
      <c r="R278" s="3">
        <v>182.9</v>
      </c>
      <c r="S278">
        <v>155.4</v>
      </c>
      <c r="T278">
        <v>149.9</v>
      </c>
      <c r="U278">
        <v>154.6</v>
      </c>
      <c r="V278" s="3">
        <f t="shared" si="19"/>
        <v>153.29999999999998</v>
      </c>
      <c r="W278" t="s">
        <v>32</v>
      </c>
      <c r="X278" s="3">
        <f t="shared" si="20"/>
        <v>156.30000000000001</v>
      </c>
      <c r="Y278" s="3">
        <v>159.1</v>
      </c>
      <c r="Z278">
        <v>146.4</v>
      </c>
      <c r="AA278">
        <v>151.6</v>
      </c>
      <c r="AB278">
        <v>144.6</v>
      </c>
      <c r="AC278">
        <v>152.80000000000001</v>
      </c>
      <c r="AD278">
        <v>157.4</v>
      </c>
      <c r="AE278" s="3">
        <f t="shared" si="21"/>
        <v>150.56</v>
      </c>
      <c r="AF278" s="3">
        <v>161.1</v>
      </c>
      <c r="AG278" s="3">
        <v>153.69999999999999</v>
      </c>
      <c r="AH278">
        <v>155.4</v>
      </c>
    </row>
    <row r="279" spans="1:34" x14ac:dyDescent="0.3">
      <c r="A279" t="s">
        <v>33</v>
      </c>
      <c r="B279">
        <v>2020</v>
      </c>
      <c r="C279" t="s">
        <v>42</v>
      </c>
      <c r="D279">
        <v>151.5</v>
      </c>
      <c r="E279">
        <v>193.1</v>
      </c>
      <c r="F279">
        <v>157.30000000000001</v>
      </c>
      <c r="G279">
        <v>153.9</v>
      </c>
      <c r="H279">
        <v>134.4</v>
      </c>
      <c r="I279">
        <v>155.4</v>
      </c>
      <c r="J279">
        <v>202</v>
      </c>
      <c r="K279">
        <v>150.80000000000001</v>
      </c>
      <c r="L279">
        <v>118.9</v>
      </c>
      <c r="M279">
        <v>160.9</v>
      </c>
      <c r="N279">
        <v>137.69999999999999</v>
      </c>
      <c r="O279">
        <v>164.4</v>
      </c>
      <c r="P279">
        <v>161.30000000000001</v>
      </c>
      <c r="Q279" s="3">
        <f t="shared" si="18"/>
        <v>157.04615384615386</v>
      </c>
      <c r="R279" s="3">
        <v>188.7</v>
      </c>
      <c r="S279">
        <v>150.19999999999999</v>
      </c>
      <c r="T279">
        <v>136.30000000000001</v>
      </c>
      <c r="U279">
        <v>148.1</v>
      </c>
      <c r="V279" s="3">
        <f t="shared" si="19"/>
        <v>144.86666666666667</v>
      </c>
      <c r="W279">
        <v>156.30000000000001</v>
      </c>
      <c r="X279" s="3">
        <f t="shared" si="20"/>
        <v>156.30000000000001</v>
      </c>
      <c r="Y279" s="3">
        <v>150</v>
      </c>
      <c r="Z279">
        <v>137.19999999999999</v>
      </c>
      <c r="AA279">
        <v>145.4</v>
      </c>
      <c r="AB279">
        <v>135.1</v>
      </c>
      <c r="AC279">
        <v>141.80000000000001</v>
      </c>
      <c r="AD279">
        <v>159.80000000000001</v>
      </c>
      <c r="AE279" s="3">
        <f t="shared" si="21"/>
        <v>143.85999999999999</v>
      </c>
      <c r="AF279" s="3">
        <v>154.9</v>
      </c>
      <c r="AG279" s="3">
        <v>146</v>
      </c>
      <c r="AH279">
        <v>154</v>
      </c>
    </row>
    <row r="280" spans="1:34" x14ac:dyDescent="0.3">
      <c r="A280" t="s">
        <v>34</v>
      </c>
      <c r="B280">
        <v>2020</v>
      </c>
      <c r="C280" t="s">
        <v>42</v>
      </c>
      <c r="D280">
        <v>148.4</v>
      </c>
      <c r="E280">
        <v>187.1</v>
      </c>
      <c r="F280">
        <v>152.5</v>
      </c>
      <c r="G280">
        <v>153.6</v>
      </c>
      <c r="H280">
        <v>138.19999999999999</v>
      </c>
      <c r="I280">
        <v>150.9</v>
      </c>
      <c r="J280">
        <v>186.7</v>
      </c>
      <c r="K280">
        <v>149.80000000000001</v>
      </c>
      <c r="L280">
        <v>116.4</v>
      </c>
      <c r="M280">
        <v>160.30000000000001</v>
      </c>
      <c r="N280">
        <v>142.19999999999999</v>
      </c>
      <c r="O280">
        <v>162.9</v>
      </c>
      <c r="P280">
        <v>158</v>
      </c>
      <c r="Q280" s="3">
        <f t="shared" si="18"/>
        <v>154.38461538461539</v>
      </c>
      <c r="R280" s="3">
        <v>184.4</v>
      </c>
      <c r="S280">
        <v>153.4</v>
      </c>
      <c r="T280">
        <v>144.30000000000001</v>
      </c>
      <c r="U280">
        <v>152</v>
      </c>
      <c r="V280" s="3">
        <f t="shared" si="19"/>
        <v>149.9</v>
      </c>
      <c r="W280">
        <v>156.30000000000001</v>
      </c>
      <c r="X280" s="3">
        <f t="shared" si="20"/>
        <v>156.30000000000001</v>
      </c>
      <c r="Y280" s="3">
        <v>155.6</v>
      </c>
      <c r="Z280">
        <v>142.9</v>
      </c>
      <c r="AA280">
        <v>148.69999999999999</v>
      </c>
      <c r="AB280">
        <v>139.6</v>
      </c>
      <c r="AC280">
        <v>146.6</v>
      </c>
      <c r="AD280">
        <v>158.4</v>
      </c>
      <c r="AE280" s="3">
        <f t="shared" si="21"/>
        <v>147.24</v>
      </c>
      <c r="AF280" s="3">
        <v>157.5</v>
      </c>
      <c r="AG280" s="3">
        <v>150</v>
      </c>
      <c r="AH280">
        <v>154.69999999999999</v>
      </c>
    </row>
    <row r="281" spans="1:34" x14ac:dyDescent="0.3">
      <c r="A281" t="s">
        <v>30</v>
      </c>
      <c r="B281">
        <v>2020</v>
      </c>
      <c r="C281" t="s">
        <v>43</v>
      </c>
      <c r="D281">
        <v>146</v>
      </c>
      <c r="E281">
        <v>186.3</v>
      </c>
      <c r="F281">
        <v>159.19999999999999</v>
      </c>
      <c r="G281">
        <v>153.6</v>
      </c>
      <c r="H281">
        <v>142.6</v>
      </c>
      <c r="I281">
        <v>147.19999999999999</v>
      </c>
      <c r="J281">
        <v>200.6</v>
      </c>
      <c r="K281">
        <v>150.30000000000001</v>
      </c>
      <c r="L281">
        <v>115.3</v>
      </c>
      <c r="M281">
        <v>160.9</v>
      </c>
      <c r="N281">
        <v>147.4</v>
      </c>
      <c r="O281">
        <v>161.9</v>
      </c>
      <c r="P281">
        <v>159.6</v>
      </c>
      <c r="Q281" s="3">
        <f t="shared" si="18"/>
        <v>156.22307692307692</v>
      </c>
      <c r="R281" s="3">
        <v>182.7</v>
      </c>
      <c r="S281">
        <v>155.69999999999999</v>
      </c>
      <c r="T281">
        <v>150.6</v>
      </c>
      <c r="U281">
        <v>155</v>
      </c>
      <c r="V281" s="3">
        <f t="shared" si="19"/>
        <v>153.76666666666665</v>
      </c>
      <c r="W281" t="s">
        <v>32</v>
      </c>
      <c r="X281" s="3">
        <f t="shared" si="20"/>
        <v>156.5</v>
      </c>
      <c r="Y281" s="3">
        <v>159.5</v>
      </c>
      <c r="Z281">
        <v>146.80000000000001</v>
      </c>
      <c r="AA281">
        <v>152</v>
      </c>
      <c r="AB281">
        <v>146.4</v>
      </c>
      <c r="AC281">
        <v>152.4</v>
      </c>
      <c r="AD281">
        <v>156.19999999999999</v>
      </c>
      <c r="AE281" s="3">
        <f t="shared" si="21"/>
        <v>150.76</v>
      </c>
      <c r="AF281" s="3">
        <v>162.5</v>
      </c>
      <c r="AG281" s="3">
        <v>154.30000000000001</v>
      </c>
      <c r="AH281">
        <v>157.5</v>
      </c>
    </row>
    <row r="282" spans="1:34" x14ac:dyDescent="0.3">
      <c r="A282" t="s">
        <v>33</v>
      </c>
      <c r="B282">
        <v>2020</v>
      </c>
      <c r="C282" t="s">
        <v>43</v>
      </c>
      <c r="D282">
        <v>150.6</v>
      </c>
      <c r="E282">
        <v>193.7</v>
      </c>
      <c r="F282">
        <v>164.8</v>
      </c>
      <c r="G282">
        <v>153.69999999999999</v>
      </c>
      <c r="H282">
        <v>135.69999999999999</v>
      </c>
      <c r="I282">
        <v>155.69999999999999</v>
      </c>
      <c r="J282">
        <v>226</v>
      </c>
      <c r="K282">
        <v>152.19999999999999</v>
      </c>
      <c r="L282">
        <v>118.1</v>
      </c>
      <c r="M282">
        <v>161.30000000000001</v>
      </c>
      <c r="N282">
        <v>139.19999999999999</v>
      </c>
      <c r="O282">
        <v>164.8</v>
      </c>
      <c r="P282">
        <v>164.4</v>
      </c>
      <c r="Q282" s="3">
        <f t="shared" si="18"/>
        <v>160.01538461538459</v>
      </c>
      <c r="R282" s="3">
        <v>188.7</v>
      </c>
      <c r="S282">
        <v>150.5</v>
      </c>
      <c r="T282">
        <v>136.1</v>
      </c>
      <c r="U282">
        <v>148.30000000000001</v>
      </c>
      <c r="V282" s="3">
        <f t="shared" si="19"/>
        <v>144.96666666666667</v>
      </c>
      <c r="W282">
        <v>156.5</v>
      </c>
      <c r="X282" s="3">
        <f t="shared" si="20"/>
        <v>156.5</v>
      </c>
      <c r="Y282" s="3">
        <v>151</v>
      </c>
      <c r="Z282">
        <v>137.1</v>
      </c>
      <c r="AA282">
        <v>145.1</v>
      </c>
      <c r="AB282">
        <v>135.4</v>
      </c>
      <c r="AC282">
        <v>142</v>
      </c>
      <c r="AD282">
        <v>158.1</v>
      </c>
      <c r="AE282" s="3">
        <f t="shared" si="21"/>
        <v>143.54000000000002</v>
      </c>
      <c r="AF282" s="3">
        <v>155.69999999999999</v>
      </c>
      <c r="AG282" s="3">
        <v>146.19999999999999</v>
      </c>
      <c r="AH282">
        <v>155.19999999999999</v>
      </c>
    </row>
    <row r="283" spans="1:34" x14ac:dyDescent="0.3">
      <c r="A283" t="s">
        <v>34</v>
      </c>
      <c r="B283">
        <v>2020</v>
      </c>
      <c r="C283" t="s">
        <v>43</v>
      </c>
      <c r="D283">
        <v>147.5</v>
      </c>
      <c r="E283">
        <v>188.9</v>
      </c>
      <c r="F283">
        <v>161.4</v>
      </c>
      <c r="G283">
        <v>153.6</v>
      </c>
      <c r="H283">
        <v>140.1</v>
      </c>
      <c r="I283">
        <v>151.19999999999999</v>
      </c>
      <c r="J283">
        <v>209.2</v>
      </c>
      <c r="K283">
        <v>150.9</v>
      </c>
      <c r="L283">
        <v>116.2</v>
      </c>
      <c r="M283">
        <v>161</v>
      </c>
      <c r="N283">
        <v>144</v>
      </c>
      <c r="O283">
        <v>163.19999999999999</v>
      </c>
      <c r="P283">
        <v>161.4</v>
      </c>
      <c r="Q283" s="3">
        <f t="shared" si="18"/>
        <v>157.5846153846154</v>
      </c>
      <c r="R283" s="3">
        <v>184.3</v>
      </c>
      <c r="S283">
        <v>153.69999999999999</v>
      </c>
      <c r="T283">
        <v>144.6</v>
      </c>
      <c r="U283">
        <v>152.30000000000001</v>
      </c>
      <c r="V283" s="3">
        <f t="shared" si="19"/>
        <v>150.19999999999999</v>
      </c>
      <c r="W283">
        <v>156.5</v>
      </c>
      <c r="X283" s="3">
        <f t="shared" si="20"/>
        <v>156.5</v>
      </c>
      <c r="Y283" s="3">
        <v>156.30000000000001</v>
      </c>
      <c r="Z283">
        <v>143.1</v>
      </c>
      <c r="AA283">
        <v>148.69999999999999</v>
      </c>
      <c r="AB283">
        <v>140.6</v>
      </c>
      <c r="AC283">
        <v>146.5</v>
      </c>
      <c r="AD283">
        <v>157</v>
      </c>
      <c r="AE283" s="3">
        <f t="shared" si="21"/>
        <v>147.18</v>
      </c>
      <c r="AF283" s="3">
        <v>158.5</v>
      </c>
      <c r="AG283" s="3">
        <v>150.4</v>
      </c>
      <c r="AH283">
        <v>156.4</v>
      </c>
    </row>
    <row r="284" spans="1:34" x14ac:dyDescent="0.3">
      <c r="A284" t="s">
        <v>30</v>
      </c>
      <c r="B284">
        <v>2020</v>
      </c>
      <c r="C284" t="s">
        <v>45</v>
      </c>
      <c r="D284">
        <v>145.4</v>
      </c>
      <c r="E284">
        <v>188.6</v>
      </c>
      <c r="F284">
        <v>171.6</v>
      </c>
      <c r="G284">
        <v>153.80000000000001</v>
      </c>
      <c r="H284">
        <v>145.4</v>
      </c>
      <c r="I284">
        <v>146.5</v>
      </c>
      <c r="J284">
        <v>222.2</v>
      </c>
      <c r="K284">
        <v>155.9</v>
      </c>
      <c r="L284">
        <v>114.9</v>
      </c>
      <c r="M284">
        <v>162</v>
      </c>
      <c r="N284">
        <v>150</v>
      </c>
      <c r="O284">
        <v>162.69999999999999</v>
      </c>
      <c r="P284">
        <v>163.4</v>
      </c>
      <c r="Q284" s="3">
        <f t="shared" si="18"/>
        <v>160.1846153846154</v>
      </c>
      <c r="R284" s="3">
        <v>183.4</v>
      </c>
      <c r="S284">
        <v>156.30000000000001</v>
      </c>
      <c r="T284">
        <v>151</v>
      </c>
      <c r="U284">
        <v>155.5</v>
      </c>
      <c r="V284" s="3">
        <f t="shared" si="19"/>
        <v>154.26666666666668</v>
      </c>
      <c r="W284" t="s">
        <v>32</v>
      </c>
      <c r="X284" s="3">
        <f t="shared" si="20"/>
        <v>158</v>
      </c>
      <c r="Y284" s="3">
        <v>160.4</v>
      </c>
      <c r="Z284">
        <v>147.5</v>
      </c>
      <c r="AA284">
        <v>152.80000000000001</v>
      </c>
      <c r="AB284">
        <v>146.1</v>
      </c>
      <c r="AC284">
        <v>153.6</v>
      </c>
      <c r="AD284">
        <v>156.19999999999999</v>
      </c>
      <c r="AE284" s="3">
        <f t="shared" si="21"/>
        <v>151.24</v>
      </c>
      <c r="AF284" s="3">
        <v>161.6</v>
      </c>
      <c r="AG284" s="3">
        <v>154.5</v>
      </c>
      <c r="AH284">
        <v>159.80000000000001</v>
      </c>
    </row>
    <row r="285" spans="1:34" x14ac:dyDescent="0.3">
      <c r="A285" t="s">
        <v>33</v>
      </c>
      <c r="B285">
        <v>2020</v>
      </c>
      <c r="C285" t="s">
        <v>45</v>
      </c>
      <c r="D285">
        <v>149.69999999999999</v>
      </c>
      <c r="E285">
        <v>195.5</v>
      </c>
      <c r="F285">
        <v>176.9</v>
      </c>
      <c r="G285">
        <v>153.9</v>
      </c>
      <c r="H285">
        <v>138</v>
      </c>
      <c r="I285">
        <v>150.5</v>
      </c>
      <c r="J285">
        <v>245.3</v>
      </c>
      <c r="K285">
        <v>158.69999999999999</v>
      </c>
      <c r="L285">
        <v>117.2</v>
      </c>
      <c r="M285">
        <v>161.4</v>
      </c>
      <c r="N285">
        <v>141.5</v>
      </c>
      <c r="O285">
        <v>165.1</v>
      </c>
      <c r="P285">
        <v>167</v>
      </c>
      <c r="Q285" s="3">
        <f t="shared" si="18"/>
        <v>163.1307692307692</v>
      </c>
      <c r="R285" s="3">
        <v>188.8</v>
      </c>
      <c r="S285">
        <v>151.1</v>
      </c>
      <c r="T285">
        <v>136.4</v>
      </c>
      <c r="U285">
        <v>148.80000000000001</v>
      </c>
      <c r="V285" s="3">
        <f t="shared" si="19"/>
        <v>145.43333333333334</v>
      </c>
      <c r="W285">
        <v>158</v>
      </c>
      <c r="X285" s="3">
        <f t="shared" si="20"/>
        <v>158</v>
      </c>
      <c r="Y285" s="3">
        <v>152</v>
      </c>
      <c r="Z285">
        <v>137.30000000000001</v>
      </c>
      <c r="AA285">
        <v>145.1</v>
      </c>
      <c r="AB285">
        <v>135.19999999999999</v>
      </c>
      <c r="AC285">
        <v>144.4</v>
      </c>
      <c r="AD285">
        <v>157.9</v>
      </c>
      <c r="AE285" s="3">
        <f t="shared" si="21"/>
        <v>143.97999999999999</v>
      </c>
      <c r="AF285" s="3">
        <v>156.4</v>
      </c>
      <c r="AG285" s="3">
        <v>146.6</v>
      </c>
      <c r="AH285">
        <v>156.69999999999999</v>
      </c>
    </row>
    <row r="286" spans="1:34" x14ac:dyDescent="0.3">
      <c r="A286" t="s">
        <v>34</v>
      </c>
      <c r="B286">
        <v>2020</v>
      </c>
      <c r="C286" t="s">
        <v>45</v>
      </c>
      <c r="D286">
        <v>146.80000000000001</v>
      </c>
      <c r="E286">
        <v>191</v>
      </c>
      <c r="F286">
        <v>173.6</v>
      </c>
      <c r="G286">
        <v>153.80000000000001</v>
      </c>
      <c r="H286">
        <v>142.69999999999999</v>
      </c>
      <c r="I286">
        <v>148.4</v>
      </c>
      <c r="J286">
        <v>230</v>
      </c>
      <c r="K286">
        <v>156.80000000000001</v>
      </c>
      <c r="L286">
        <v>115.7</v>
      </c>
      <c r="M286">
        <v>161.80000000000001</v>
      </c>
      <c r="N286">
        <v>146.5</v>
      </c>
      <c r="O286">
        <v>163.80000000000001</v>
      </c>
      <c r="P286">
        <v>164.7</v>
      </c>
      <c r="Q286" s="3">
        <f t="shared" si="18"/>
        <v>161.19999999999999</v>
      </c>
      <c r="R286" s="3">
        <v>184.8</v>
      </c>
      <c r="S286">
        <v>154.30000000000001</v>
      </c>
      <c r="T286">
        <v>144.9</v>
      </c>
      <c r="U286">
        <v>152.80000000000001</v>
      </c>
      <c r="V286" s="3">
        <f t="shared" si="19"/>
        <v>150.66666666666669</v>
      </c>
      <c r="W286">
        <v>158</v>
      </c>
      <c r="X286" s="3">
        <f t="shared" si="20"/>
        <v>158</v>
      </c>
      <c r="Y286" s="3">
        <v>157.19999999999999</v>
      </c>
      <c r="Z286">
        <v>143.6</v>
      </c>
      <c r="AA286">
        <v>149.19999999999999</v>
      </c>
      <c r="AB286">
        <v>140.4</v>
      </c>
      <c r="AC286">
        <v>148.4</v>
      </c>
      <c r="AD286">
        <v>156.9</v>
      </c>
      <c r="AE286" s="3">
        <f t="shared" si="21"/>
        <v>147.69999999999999</v>
      </c>
      <c r="AF286" s="3">
        <v>158.6</v>
      </c>
      <c r="AG286" s="3">
        <v>150.69999999999999</v>
      </c>
      <c r="AH286">
        <v>158.4</v>
      </c>
    </row>
    <row r="287" spans="1:34" x14ac:dyDescent="0.3">
      <c r="A287" t="s">
        <v>30</v>
      </c>
      <c r="B287">
        <v>2020</v>
      </c>
      <c r="C287" t="s">
        <v>46</v>
      </c>
      <c r="D287">
        <v>144.6</v>
      </c>
      <c r="E287">
        <v>188.5</v>
      </c>
      <c r="F287">
        <v>173.4</v>
      </c>
      <c r="G287">
        <v>154</v>
      </c>
      <c r="H287">
        <v>150</v>
      </c>
      <c r="I287">
        <v>145.9</v>
      </c>
      <c r="J287">
        <v>225.2</v>
      </c>
      <c r="K287">
        <v>159.5</v>
      </c>
      <c r="L287">
        <v>114.4</v>
      </c>
      <c r="M287">
        <v>163.5</v>
      </c>
      <c r="N287">
        <v>153.4</v>
      </c>
      <c r="O287">
        <v>163.6</v>
      </c>
      <c r="P287">
        <v>164.5</v>
      </c>
      <c r="Q287" s="3">
        <f t="shared" si="18"/>
        <v>161.57692307692307</v>
      </c>
      <c r="R287" s="3">
        <v>183.6</v>
      </c>
      <c r="S287">
        <v>157</v>
      </c>
      <c r="T287">
        <v>151.6</v>
      </c>
      <c r="U287">
        <v>156.30000000000001</v>
      </c>
      <c r="V287" s="3">
        <f t="shared" si="19"/>
        <v>154.96666666666667</v>
      </c>
      <c r="W287" t="s">
        <v>32</v>
      </c>
      <c r="X287" s="3">
        <f t="shared" si="20"/>
        <v>158.4</v>
      </c>
      <c r="Y287" s="3">
        <v>161.6</v>
      </c>
      <c r="Z287">
        <v>148.69999999999999</v>
      </c>
      <c r="AA287">
        <v>153.4</v>
      </c>
      <c r="AB287">
        <v>146.4</v>
      </c>
      <c r="AC287">
        <v>153.9</v>
      </c>
      <c r="AD287">
        <v>156.6</v>
      </c>
      <c r="AE287" s="3">
        <f t="shared" si="21"/>
        <v>151.80000000000001</v>
      </c>
      <c r="AF287" s="3">
        <v>162.9</v>
      </c>
      <c r="AG287" s="3">
        <v>155.19999999999999</v>
      </c>
      <c r="AH287">
        <v>160.69999999999999</v>
      </c>
    </row>
    <row r="288" spans="1:34" x14ac:dyDescent="0.3">
      <c r="A288" t="s">
        <v>33</v>
      </c>
      <c r="B288">
        <v>2020</v>
      </c>
      <c r="C288" t="s">
        <v>46</v>
      </c>
      <c r="D288">
        <v>149</v>
      </c>
      <c r="E288">
        <v>195.7</v>
      </c>
      <c r="F288">
        <v>178.3</v>
      </c>
      <c r="G288">
        <v>154.19999999999999</v>
      </c>
      <c r="H288">
        <v>140.69999999999999</v>
      </c>
      <c r="I288">
        <v>149.69999999999999</v>
      </c>
      <c r="J288">
        <v>240.9</v>
      </c>
      <c r="K288">
        <v>161.5</v>
      </c>
      <c r="L288">
        <v>117.1</v>
      </c>
      <c r="M288">
        <v>161.9</v>
      </c>
      <c r="N288">
        <v>143.30000000000001</v>
      </c>
      <c r="O288">
        <v>166.1</v>
      </c>
      <c r="P288">
        <v>167</v>
      </c>
      <c r="Q288" s="3">
        <f t="shared" si="18"/>
        <v>163.49230769230769</v>
      </c>
      <c r="R288" s="3">
        <v>190.2</v>
      </c>
      <c r="S288">
        <v>151.9</v>
      </c>
      <c r="T288">
        <v>136.69999999999999</v>
      </c>
      <c r="U288">
        <v>149.6</v>
      </c>
      <c r="V288" s="3">
        <f t="shared" si="19"/>
        <v>146.06666666666669</v>
      </c>
      <c r="W288">
        <v>158.4</v>
      </c>
      <c r="X288" s="3">
        <f t="shared" si="20"/>
        <v>158.4</v>
      </c>
      <c r="Y288" s="3">
        <v>152.9</v>
      </c>
      <c r="Z288">
        <v>137.9</v>
      </c>
      <c r="AA288">
        <v>145.5</v>
      </c>
      <c r="AB288">
        <v>135.5</v>
      </c>
      <c r="AC288">
        <v>144.30000000000001</v>
      </c>
      <c r="AD288">
        <v>157.9</v>
      </c>
      <c r="AE288" s="3">
        <f t="shared" si="21"/>
        <v>144.22</v>
      </c>
      <c r="AF288" s="3">
        <v>156.9</v>
      </c>
      <c r="AG288" s="3">
        <v>146.9</v>
      </c>
      <c r="AH288">
        <v>156.9</v>
      </c>
    </row>
    <row r="289" spans="1:34" x14ac:dyDescent="0.3">
      <c r="A289" t="s">
        <v>34</v>
      </c>
      <c r="B289">
        <v>2020</v>
      </c>
      <c r="C289" t="s">
        <v>46</v>
      </c>
      <c r="D289">
        <v>146</v>
      </c>
      <c r="E289">
        <v>191</v>
      </c>
      <c r="F289">
        <v>175.3</v>
      </c>
      <c r="G289">
        <v>154.1</v>
      </c>
      <c r="H289">
        <v>146.6</v>
      </c>
      <c r="I289">
        <v>147.69999999999999</v>
      </c>
      <c r="J289">
        <v>230.5</v>
      </c>
      <c r="K289">
        <v>160.19999999999999</v>
      </c>
      <c r="L289">
        <v>115.3</v>
      </c>
      <c r="M289">
        <v>163</v>
      </c>
      <c r="N289">
        <v>149.19999999999999</v>
      </c>
      <c r="O289">
        <v>164.8</v>
      </c>
      <c r="P289">
        <v>165.4</v>
      </c>
      <c r="Q289" s="3">
        <f t="shared" si="18"/>
        <v>162.23846153846154</v>
      </c>
      <c r="R289" s="3">
        <v>185.4</v>
      </c>
      <c r="S289">
        <v>155</v>
      </c>
      <c r="T289">
        <v>145.4</v>
      </c>
      <c r="U289">
        <v>153.6</v>
      </c>
      <c r="V289" s="3">
        <f t="shared" si="19"/>
        <v>151.33333333333334</v>
      </c>
      <c r="W289">
        <v>158.4</v>
      </c>
      <c r="X289" s="3">
        <f t="shared" si="20"/>
        <v>158.4</v>
      </c>
      <c r="Y289" s="3">
        <v>158.30000000000001</v>
      </c>
      <c r="Z289">
        <v>144.6</v>
      </c>
      <c r="AA289">
        <v>149.69999999999999</v>
      </c>
      <c r="AB289">
        <v>140.69999999999999</v>
      </c>
      <c r="AC289">
        <v>148.5</v>
      </c>
      <c r="AD289">
        <v>157.1</v>
      </c>
      <c r="AE289" s="3">
        <f t="shared" si="21"/>
        <v>148.12</v>
      </c>
      <c r="AF289" s="3">
        <v>159.4</v>
      </c>
      <c r="AG289" s="3">
        <v>151.19999999999999</v>
      </c>
      <c r="AH289">
        <v>158.9</v>
      </c>
    </row>
    <row r="290" spans="1:34" x14ac:dyDescent="0.3">
      <c r="A290" t="s">
        <v>30</v>
      </c>
      <c r="B290">
        <v>2021</v>
      </c>
      <c r="C290" t="s">
        <v>31</v>
      </c>
      <c r="D290">
        <v>143.4</v>
      </c>
      <c r="E290">
        <v>187.5</v>
      </c>
      <c r="F290">
        <v>173.4</v>
      </c>
      <c r="G290">
        <v>154</v>
      </c>
      <c r="H290">
        <v>154.80000000000001</v>
      </c>
      <c r="I290">
        <v>147</v>
      </c>
      <c r="J290">
        <v>187.8</v>
      </c>
      <c r="K290">
        <v>159.5</v>
      </c>
      <c r="L290">
        <v>113.8</v>
      </c>
      <c r="M290">
        <v>164.5</v>
      </c>
      <c r="N290">
        <v>156.1</v>
      </c>
      <c r="O290">
        <v>164.3</v>
      </c>
      <c r="P290">
        <v>159.6</v>
      </c>
      <c r="Q290" s="3">
        <f t="shared" si="18"/>
        <v>158.89999999999998</v>
      </c>
      <c r="R290" s="3">
        <v>184.6</v>
      </c>
      <c r="S290">
        <v>157.5</v>
      </c>
      <c r="T290">
        <v>152.4</v>
      </c>
      <c r="U290">
        <v>156.80000000000001</v>
      </c>
      <c r="V290" s="3">
        <f t="shared" si="19"/>
        <v>155.56666666666666</v>
      </c>
      <c r="W290" t="s">
        <v>32</v>
      </c>
      <c r="X290" s="3">
        <f t="shared" si="20"/>
        <v>157.69999999999999</v>
      </c>
      <c r="Y290" s="3">
        <v>162.5</v>
      </c>
      <c r="Z290">
        <v>150.9</v>
      </c>
      <c r="AA290">
        <v>153.9</v>
      </c>
      <c r="AB290">
        <v>147.5</v>
      </c>
      <c r="AC290">
        <v>155.1</v>
      </c>
      <c r="AD290">
        <v>156.19999999999999</v>
      </c>
      <c r="AE290" s="3">
        <f t="shared" si="21"/>
        <v>152.71999999999997</v>
      </c>
      <c r="AF290" s="3">
        <v>163.5</v>
      </c>
      <c r="AG290" s="3">
        <v>155.9</v>
      </c>
      <c r="AH290">
        <v>158.5</v>
      </c>
    </row>
    <row r="291" spans="1:34" x14ac:dyDescent="0.3">
      <c r="A291" t="s">
        <v>33</v>
      </c>
      <c r="B291">
        <v>2021</v>
      </c>
      <c r="C291" t="s">
        <v>31</v>
      </c>
      <c r="D291">
        <v>148</v>
      </c>
      <c r="E291">
        <v>194.8</v>
      </c>
      <c r="F291">
        <v>178.4</v>
      </c>
      <c r="G291">
        <v>154.4</v>
      </c>
      <c r="H291">
        <v>144.1</v>
      </c>
      <c r="I291">
        <v>152.6</v>
      </c>
      <c r="J291">
        <v>206.8</v>
      </c>
      <c r="K291">
        <v>162.1</v>
      </c>
      <c r="L291">
        <v>116.3</v>
      </c>
      <c r="M291">
        <v>163</v>
      </c>
      <c r="N291">
        <v>145.9</v>
      </c>
      <c r="O291">
        <v>167.2</v>
      </c>
      <c r="P291">
        <v>163.4</v>
      </c>
      <c r="Q291" s="3">
        <f t="shared" si="18"/>
        <v>161.30769230769232</v>
      </c>
      <c r="R291" s="3">
        <v>191.8</v>
      </c>
      <c r="S291">
        <v>152.5</v>
      </c>
      <c r="T291">
        <v>137.30000000000001</v>
      </c>
      <c r="U291">
        <v>150.19999999999999</v>
      </c>
      <c r="V291" s="3">
        <f t="shared" si="19"/>
        <v>146.66666666666666</v>
      </c>
      <c r="W291">
        <v>157.69999999999999</v>
      </c>
      <c r="X291" s="3">
        <f t="shared" si="20"/>
        <v>157.69999999999999</v>
      </c>
      <c r="Y291" s="3">
        <v>154.1</v>
      </c>
      <c r="Z291">
        <v>142.9</v>
      </c>
      <c r="AA291">
        <v>145.69999999999999</v>
      </c>
      <c r="AB291">
        <v>136.9</v>
      </c>
      <c r="AC291">
        <v>145.4</v>
      </c>
      <c r="AD291">
        <v>157.69999999999999</v>
      </c>
      <c r="AE291" s="3">
        <f t="shared" si="21"/>
        <v>145.71999999999997</v>
      </c>
      <c r="AF291" s="3">
        <v>156.1</v>
      </c>
      <c r="AG291" s="3">
        <v>147.6</v>
      </c>
      <c r="AH291">
        <v>156</v>
      </c>
    </row>
    <row r="292" spans="1:34" x14ac:dyDescent="0.3">
      <c r="A292" t="s">
        <v>34</v>
      </c>
      <c r="B292">
        <v>2021</v>
      </c>
      <c r="C292" t="s">
        <v>31</v>
      </c>
      <c r="D292">
        <v>144.9</v>
      </c>
      <c r="E292">
        <v>190.1</v>
      </c>
      <c r="F292">
        <v>175.3</v>
      </c>
      <c r="G292">
        <v>154.1</v>
      </c>
      <c r="H292">
        <v>150.9</v>
      </c>
      <c r="I292">
        <v>149.6</v>
      </c>
      <c r="J292">
        <v>194.2</v>
      </c>
      <c r="K292">
        <v>160.4</v>
      </c>
      <c r="L292">
        <v>114.6</v>
      </c>
      <c r="M292">
        <v>164</v>
      </c>
      <c r="N292">
        <v>151.80000000000001</v>
      </c>
      <c r="O292">
        <v>165.6</v>
      </c>
      <c r="P292">
        <v>161</v>
      </c>
      <c r="Q292" s="3">
        <f t="shared" si="18"/>
        <v>159.73076923076923</v>
      </c>
      <c r="R292" s="3">
        <v>186.5</v>
      </c>
      <c r="S292">
        <v>155.5</v>
      </c>
      <c r="T292">
        <v>146.1</v>
      </c>
      <c r="U292">
        <v>154.19999999999999</v>
      </c>
      <c r="V292" s="3">
        <f t="shared" si="19"/>
        <v>151.93333333333334</v>
      </c>
      <c r="W292">
        <v>157.69999999999999</v>
      </c>
      <c r="X292" s="3">
        <f t="shared" si="20"/>
        <v>157.69999999999999</v>
      </c>
      <c r="Y292" s="3">
        <v>159.30000000000001</v>
      </c>
      <c r="Z292">
        <v>147.9</v>
      </c>
      <c r="AA292">
        <v>150</v>
      </c>
      <c r="AB292">
        <v>141.9</v>
      </c>
      <c r="AC292">
        <v>149.6</v>
      </c>
      <c r="AD292">
        <v>156.80000000000001</v>
      </c>
      <c r="AE292" s="3">
        <f t="shared" si="21"/>
        <v>149.24</v>
      </c>
      <c r="AF292" s="3">
        <v>159.19999999999999</v>
      </c>
      <c r="AG292" s="3">
        <v>151.9</v>
      </c>
      <c r="AH292">
        <v>157.30000000000001</v>
      </c>
    </row>
    <row r="293" spans="1:34" x14ac:dyDescent="0.3">
      <c r="A293" t="s">
        <v>30</v>
      </c>
      <c r="B293">
        <v>2021</v>
      </c>
      <c r="C293" t="s">
        <v>35</v>
      </c>
      <c r="D293">
        <v>142.80000000000001</v>
      </c>
      <c r="E293">
        <v>184</v>
      </c>
      <c r="F293">
        <v>168</v>
      </c>
      <c r="G293">
        <v>154.4</v>
      </c>
      <c r="H293">
        <v>163</v>
      </c>
      <c r="I293">
        <v>147.80000000000001</v>
      </c>
      <c r="J293">
        <v>149.69999999999999</v>
      </c>
      <c r="K293">
        <v>158.30000000000001</v>
      </c>
      <c r="L293">
        <v>111.8</v>
      </c>
      <c r="M293">
        <v>165</v>
      </c>
      <c r="N293">
        <v>160</v>
      </c>
      <c r="O293">
        <v>165.8</v>
      </c>
      <c r="P293">
        <v>154.69999999999999</v>
      </c>
      <c r="Q293" s="3">
        <f t="shared" si="18"/>
        <v>155.7923076923077</v>
      </c>
      <c r="R293" s="3">
        <v>186.5</v>
      </c>
      <c r="S293">
        <v>159.1</v>
      </c>
      <c r="T293">
        <v>153.9</v>
      </c>
      <c r="U293">
        <v>158.4</v>
      </c>
      <c r="V293" s="3">
        <f t="shared" si="19"/>
        <v>157.13333333333333</v>
      </c>
      <c r="W293" t="s">
        <v>32</v>
      </c>
      <c r="X293" s="3">
        <f t="shared" si="20"/>
        <v>159.80000000000001</v>
      </c>
      <c r="Y293" s="3">
        <v>164.3</v>
      </c>
      <c r="Z293">
        <v>154.4</v>
      </c>
      <c r="AA293">
        <v>154.80000000000001</v>
      </c>
      <c r="AB293">
        <v>150.19999999999999</v>
      </c>
      <c r="AC293">
        <v>157</v>
      </c>
      <c r="AD293">
        <v>155.19999999999999</v>
      </c>
      <c r="AE293" s="3">
        <f t="shared" si="21"/>
        <v>154.32000000000002</v>
      </c>
      <c r="AF293" s="3">
        <v>163.6</v>
      </c>
      <c r="AG293" s="3">
        <v>157.19999999999999</v>
      </c>
      <c r="AH293">
        <v>156.69999999999999</v>
      </c>
    </row>
    <row r="294" spans="1:34" x14ac:dyDescent="0.3">
      <c r="A294" t="s">
        <v>33</v>
      </c>
      <c r="B294">
        <v>2021</v>
      </c>
      <c r="C294" t="s">
        <v>35</v>
      </c>
      <c r="D294">
        <v>147.6</v>
      </c>
      <c r="E294">
        <v>191.2</v>
      </c>
      <c r="F294">
        <v>169.9</v>
      </c>
      <c r="G294">
        <v>155.1</v>
      </c>
      <c r="H294">
        <v>151.4</v>
      </c>
      <c r="I294">
        <v>154</v>
      </c>
      <c r="J294">
        <v>180.2</v>
      </c>
      <c r="K294">
        <v>159.80000000000001</v>
      </c>
      <c r="L294">
        <v>114.9</v>
      </c>
      <c r="M294">
        <v>162.5</v>
      </c>
      <c r="N294">
        <v>149.19999999999999</v>
      </c>
      <c r="O294">
        <v>169.4</v>
      </c>
      <c r="P294">
        <v>160.80000000000001</v>
      </c>
      <c r="Q294" s="3">
        <f t="shared" si="18"/>
        <v>158.92307692307693</v>
      </c>
      <c r="R294" s="3">
        <v>193.3</v>
      </c>
      <c r="S294">
        <v>154.19999999999999</v>
      </c>
      <c r="T294">
        <v>138.19999999999999</v>
      </c>
      <c r="U294">
        <v>151.80000000000001</v>
      </c>
      <c r="V294" s="3">
        <f t="shared" si="19"/>
        <v>148.06666666666666</v>
      </c>
      <c r="W294">
        <v>159.80000000000001</v>
      </c>
      <c r="X294" s="3">
        <f t="shared" si="20"/>
        <v>159.80000000000001</v>
      </c>
      <c r="Y294" s="3">
        <v>156.30000000000001</v>
      </c>
      <c r="Z294">
        <v>149.1</v>
      </c>
      <c r="AA294">
        <v>146.5</v>
      </c>
      <c r="AB294">
        <v>140.5</v>
      </c>
      <c r="AC294">
        <v>147.30000000000001</v>
      </c>
      <c r="AD294">
        <v>156.69999999999999</v>
      </c>
      <c r="AE294" s="3">
        <f t="shared" si="21"/>
        <v>148.02000000000004</v>
      </c>
      <c r="AF294" s="3">
        <v>156.6</v>
      </c>
      <c r="AG294" s="3">
        <v>149.30000000000001</v>
      </c>
      <c r="AH294">
        <v>156.5</v>
      </c>
    </row>
    <row r="295" spans="1:34" x14ac:dyDescent="0.3">
      <c r="A295" t="s">
        <v>34</v>
      </c>
      <c r="B295">
        <v>2021</v>
      </c>
      <c r="C295" t="s">
        <v>35</v>
      </c>
      <c r="D295">
        <v>144.30000000000001</v>
      </c>
      <c r="E295">
        <v>186.5</v>
      </c>
      <c r="F295">
        <v>168.7</v>
      </c>
      <c r="G295">
        <v>154.69999999999999</v>
      </c>
      <c r="H295">
        <v>158.69999999999999</v>
      </c>
      <c r="I295">
        <v>150.69999999999999</v>
      </c>
      <c r="J295">
        <v>160</v>
      </c>
      <c r="K295">
        <v>158.80000000000001</v>
      </c>
      <c r="L295">
        <v>112.8</v>
      </c>
      <c r="M295">
        <v>164.2</v>
      </c>
      <c r="N295">
        <v>155.5</v>
      </c>
      <c r="O295">
        <v>167.5</v>
      </c>
      <c r="P295">
        <v>156.9</v>
      </c>
      <c r="Q295" s="3">
        <f t="shared" si="18"/>
        <v>156.8692307692308</v>
      </c>
      <c r="R295" s="3">
        <v>188.3</v>
      </c>
      <c r="S295">
        <v>157.19999999999999</v>
      </c>
      <c r="T295">
        <v>147.4</v>
      </c>
      <c r="U295">
        <v>155.80000000000001</v>
      </c>
      <c r="V295" s="3">
        <f t="shared" si="19"/>
        <v>153.46666666666667</v>
      </c>
      <c r="W295">
        <v>159.80000000000001</v>
      </c>
      <c r="X295" s="3">
        <f t="shared" si="20"/>
        <v>159.80000000000001</v>
      </c>
      <c r="Y295" s="3">
        <v>161.30000000000001</v>
      </c>
      <c r="Z295">
        <v>152.4</v>
      </c>
      <c r="AA295">
        <v>150.9</v>
      </c>
      <c r="AB295">
        <v>145.1</v>
      </c>
      <c r="AC295">
        <v>151.5</v>
      </c>
      <c r="AD295">
        <v>155.80000000000001</v>
      </c>
      <c r="AE295" s="3">
        <f t="shared" si="21"/>
        <v>151.14000000000001</v>
      </c>
      <c r="AF295" s="3">
        <v>159.5</v>
      </c>
      <c r="AG295" s="3">
        <v>153.4</v>
      </c>
      <c r="AH295">
        <v>156.6</v>
      </c>
    </row>
    <row r="296" spans="1:34" x14ac:dyDescent="0.3">
      <c r="A296" t="s">
        <v>30</v>
      </c>
      <c r="B296">
        <v>2021</v>
      </c>
      <c r="C296" t="s">
        <v>36</v>
      </c>
      <c r="D296">
        <v>142.5</v>
      </c>
      <c r="E296">
        <v>189.4</v>
      </c>
      <c r="F296">
        <v>163.19999999999999</v>
      </c>
      <c r="G296">
        <v>154.5</v>
      </c>
      <c r="H296">
        <v>168.2</v>
      </c>
      <c r="I296">
        <v>150.5</v>
      </c>
      <c r="J296">
        <v>141</v>
      </c>
      <c r="K296">
        <v>159.19999999999999</v>
      </c>
      <c r="L296">
        <v>111.7</v>
      </c>
      <c r="M296">
        <v>164</v>
      </c>
      <c r="N296">
        <v>160.6</v>
      </c>
      <c r="O296">
        <v>166.4</v>
      </c>
      <c r="P296">
        <v>154.5</v>
      </c>
      <c r="Q296" s="3">
        <f t="shared" si="18"/>
        <v>155.82307692307694</v>
      </c>
      <c r="R296" s="3">
        <v>186.1</v>
      </c>
      <c r="S296">
        <v>159.6</v>
      </c>
      <c r="T296">
        <v>154.4</v>
      </c>
      <c r="U296">
        <v>158.9</v>
      </c>
      <c r="V296" s="3">
        <f t="shared" si="19"/>
        <v>157.63333333333333</v>
      </c>
      <c r="W296" t="s">
        <v>48</v>
      </c>
      <c r="X296" s="3">
        <f>AVERAGE(X294:X295,X297:X298)</f>
        <v>159.85</v>
      </c>
      <c r="Y296" s="3">
        <v>164.6</v>
      </c>
      <c r="Z296">
        <v>156</v>
      </c>
      <c r="AA296">
        <v>154.80000000000001</v>
      </c>
      <c r="AB296">
        <v>151.30000000000001</v>
      </c>
      <c r="AC296">
        <v>157.80000000000001</v>
      </c>
      <c r="AD296">
        <v>153.1</v>
      </c>
      <c r="AE296" s="3">
        <f t="shared" si="21"/>
        <v>154.60000000000002</v>
      </c>
      <c r="AF296" s="3">
        <v>163.80000000000001</v>
      </c>
      <c r="AG296" s="3">
        <v>157.30000000000001</v>
      </c>
      <c r="AH296">
        <v>156.69999999999999</v>
      </c>
    </row>
    <row r="297" spans="1:34" x14ac:dyDescent="0.3">
      <c r="A297" t="s">
        <v>33</v>
      </c>
      <c r="B297">
        <v>2021</v>
      </c>
      <c r="C297" t="s">
        <v>36</v>
      </c>
      <c r="D297">
        <v>147.5</v>
      </c>
      <c r="E297">
        <v>197.5</v>
      </c>
      <c r="F297">
        <v>164.7</v>
      </c>
      <c r="G297">
        <v>155.6</v>
      </c>
      <c r="H297">
        <v>156.4</v>
      </c>
      <c r="I297">
        <v>157.30000000000001</v>
      </c>
      <c r="J297">
        <v>166.1</v>
      </c>
      <c r="K297">
        <v>161.1</v>
      </c>
      <c r="L297">
        <v>114.3</v>
      </c>
      <c r="M297">
        <v>162.6</v>
      </c>
      <c r="N297">
        <v>150.69999999999999</v>
      </c>
      <c r="O297">
        <v>170.3</v>
      </c>
      <c r="P297">
        <v>160.4</v>
      </c>
      <c r="Q297" s="3">
        <f t="shared" si="18"/>
        <v>158.80769230769226</v>
      </c>
      <c r="R297" s="3">
        <v>193.5</v>
      </c>
      <c r="S297">
        <v>155.1</v>
      </c>
      <c r="T297">
        <v>138.69999999999999</v>
      </c>
      <c r="U297">
        <v>152.6</v>
      </c>
      <c r="V297" s="3">
        <f t="shared" si="19"/>
        <v>148.79999999999998</v>
      </c>
      <c r="W297">
        <v>159.9</v>
      </c>
      <c r="X297" s="3">
        <f t="shared" si="20"/>
        <v>159.9</v>
      </c>
      <c r="Y297" s="3">
        <v>156.9</v>
      </c>
      <c r="Z297">
        <v>154.80000000000001</v>
      </c>
      <c r="AA297">
        <v>147.19999999999999</v>
      </c>
      <c r="AB297">
        <v>141.69999999999999</v>
      </c>
      <c r="AC297">
        <v>148.6</v>
      </c>
      <c r="AD297">
        <v>154.9</v>
      </c>
      <c r="AE297" s="3">
        <f t="shared" si="21"/>
        <v>149.44</v>
      </c>
      <c r="AF297" s="3">
        <v>157.6</v>
      </c>
      <c r="AG297" s="3">
        <v>150</v>
      </c>
      <c r="AH297">
        <v>156.9</v>
      </c>
    </row>
    <row r="298" spans="1:34" x14ac:dyDescent="0.3">
      <c r="A298" t="s">
        <v>34</v>
      </c>
      <c r="B298">
        <v>2021</v>
      </c>
      <c r="C298" t="s">
        <v>36</v>
      </c>
      <c r="D298">
        <v>144.1</v>
      </c>
      <c r="E298">
        <v>192.2</v>
      </c>
      <c r="F298">
        <v>163.80000000000001</v>
      </c>
      <c r="G298">
        <v>154.9</v>
      </c>
      <c r="H298">
        <v>163.9</v>
      </c>
      <c r="I298">
        <v>153.69999999999999</v>
      </c>
      <c r="J298">
        <v>149.5</v>
      </c>
      <c r="K298">
        <v>159.80000000000001</v>
      </c>
      <c r="L298">
        <v>112.6</v>
      </c>
      <c r="M298">
        <v>163.5</v>
      </c>
      <c r="N298">
        <v>156.5</v>
      </c>
      <c r="O298">
        <v>168.2</v>
      </c>
      <c r="P298">
        <v>156.69999999999999</v>
      </c>
      <c r="Q298" s="3">
        <f t="shared" si="18"/>
        <v>156.87692307692308</v>
      </c>
      <c r="R298" s="3">
        <v>188.1</v>
      </c>
      <c r="S298">
        <v>157.80000000000001</v>
      </c>
      <c r="T298">
        <v>147.9</v>
      </c>
      <c r="U298">
        <v>156.4</v>
      </c>
      <c r="V298" s="3">
        <f t="shared" si="19"/>
        <v>154.03333333333333</v>
      </c>
      <c r="W298">
        <v>159.9</v>
      </c>
      <c r="X298" s="3">
        <f t="shared" si="20"/>
        <v>159.9</v>
      </c>
      <c r="Y298" s="3">
        <v>161.69999999999999</v>
      </c>
      <c r="Z298">
        <v>155.5</v>
      </c>
      <c r="AA298">
        <v>151.19999999999999</v>
      </c>
      <c r="AB298">
        <v>146.19999999999999</v>
      </c>
      <c r="AC298">
        <v>152.6</v>
      </c>
      <c r="AD298">
        <v>153.80000000000001</v>
      </c>
      <c r="AE298" s="3">
        <f t="shared" si="21"/>
        <v>151.85999999999999</v>
      </c>
      <c r="AF298" s="3">
        <v>160.19999999999999</v>
      </c>
      <c r="AG298" s="3">
        <v>153.80000000000001</v>
      </c>
      <c r="AH298">
        <v>156.80000000000001</v>
      </c>
    </row>
    <row r="299" spans="1:34" x14ac:dyDescent="0.3">
      <c r="A299" t="s">
        <v>30</v>
      </c>
      <c r="B299">
        <v>2021</v>
      </c>
      <c r="C299" t="s">
        <v>37</v>
      </c>
      <c r="D299">
        <v>142.69999999999999</v>
      </c>
      <c r="E299">
        <v>195.5</v>
      </c>
      <c r="F299">
        <v>163.4</v>
      </c>
      <c r="G299">
        <v>155</v>
      </c>
      <c r="H299">
        <v>175.2</v>
      </c>
      <c r="I299">
        <v>160.6</v>
      </c>
      <c r="J299">
        <v>135.1</v>
      </c>
      <c r="K299">
        <v>161.1</v>
      </c>
      <c r="L299">
        <v>112.2</v>
      </c>
      <c r="M299">
        <v>164.4</v>
      </c>
      <c r="N299">
        <v>161.9</v>
      </c>
      <c r="O299">
        <v>166.8</v>
      </c>
      <c r="P299">
        <v>155.6</v>
      </c>
      <c r="Q299" s="3">
        <f t="shared" si="18"/>
        <v>157.65384615384616</v>
      </c>
      <c r="R299" s="3">
        <v>186.8</v>
      </c>
      <c r="S299">
        <v>160.69999999999999</v>
      </c>
      <c r="T299">
        <v>155.1</v>
      </c>
      <c r="U299">
        <v>159.9</v>
      </c>
      <c r="V299" s="3">
        <f t="shared" si="19"/>
        <v>158.56666666666663</v>
      </c>
      <c r="W299" t="s">
        <v>48</v>
      </c>
      <c r="X299" s="3">
        <f>AVERAGE(X297:X298,X300:X301)</f>
        <v>160.65</v>
      </c>
      <c r="Y299" s="3">
        <v>165.3</v>
      </c>
      <c r="Z299">
        <v>156</v>
      </c>
      <c r="AA299">
        <v>155.5</v>
      </c>
      <c r="AB299">
        <v>151.69999999999999</v>
      </c>
      <c r="AC299">
        <v>158.6</v>
      </c>
      <c r="AD299">
        <v>154.6</v>
      </c>
      <c r="AE299" s="3">
        <f t="shared" si="21"/>
        <v>155.28</v>
      </c>
      <c r="AF299" s="3">
        <v>164.1</v>
      </c>
      <c r="AG299" s="3">
        <v>158</v>
      </c>
      <c r="AH299">
        <v>157.6</v>
      </c>
    </row>
    <row r="300" spans="1:34" x14ac:dyDescent="0.3">
      <c r="A300" t="s">
        <v>33</v>
      </c>
      <c r="B300">
        <v>2021</v>
      </c>
      <c r="C300" t="s">
        <v>37</v>
      </c>
      <c r="D300">
        <v>147.6</v>
      </c>
      <c r="E300">
        <v>202.5</v>
      </c>
      <c r="F300">
        <v>166.4</v>
      </c>
      <c r="G300">
        <v>156</v>
      </c>
      <c r="H300">
        <v>161.4</v>
      </c>
      <c r="I300">
        <v>168.8</v>
      </c>
      <c r="J300">
        <v>161.6</v>
      </c>
      <c r="K300">
        <v>162.80000000000001</v>
      </c>
      <c r="L300">
        <v>114.8</v>
      </c>
      <c r="M300">
        <v>162.80000000000001</v>
      </c>
      <c r="N300">
        <v>151.5</v>
      </c>
      <c r="O300">
        <v>171.4</v>
      </c>
      <c r="P300">
        <v>162</v>
      </c>
      <c r="Q300" s="3">
        <f t="shared" si="18"/>
        <v>160.73846153846154</v>
      </c>
      <c r="R300" s="3">
        <v>194.4</v>
      </c>
      <c r="S300">
        <v>155.9</v>
      </c>
      <c r="T300">
        <v>139.30000000000001</v>
      </c>
      <c r="U300">
        <v>153.4</v>
      </c>
      <c r="V300" s="3">
        <f t="shared" si="19"/>
        <v>149.53333333333333</v>
      </c>
      <c r="W300">
        <v>161.4</v>
      </c>
      <c r="X300" s="3">
        <f t="shared" si="20"/>
        <v>161.4</v>
      </c>
      <c r="Y300" s="3">
        <v>157.5</v>
      </c>
      <c r="Z300">
        <v>154.9</v>
      </c>
      <c r="AA300">
        <v>147.6</v>
      </c>
      <c r="AB300">
        <v>142.1</v>
      </c>
      <c r="AC300">
        <v>149.1</v>
      </c>
      <c r="AD300">
        <v>156.6</v>
      </c>
      <c r="AE300" s="3">
        <f t="shared" si="21"/>
        <v>150.06</v>
      </c>
      <c r="AF300" s="3">
        <v>157.6</v>
      </c>
      <c r="AG300" s="3">
        <v>150.5</v>
      </c>
      <c r="AH300">
        <v>158</v>
      </c>
    </row>
    <row r="301" spans="1:34" x14ac:dyDescent="0.3">
      <c r="A301" t="s">
        <v>34</v>
      </c>
      <c r="B301">
        <v>2021</v>
      </c>
      <c r="C301" t="s">
        <v>37</v>
      </c>
      <c r="D301">
        <v>144.30000000000001</v>
      </c>
      <c r="E301">
        <v>198</v>
      </c>
      <c r="F301">
        <v>164.6</v>
      </c>
      <c r="G301">
        <v>155.4</v>
      </c>
      <c r="H301">
        <v>170.1</v>
      </c>
      <c r="I301">
        <v>164.4</v>
      </c>
      <c r="J301">
        <v>144.1</v>
      </c>
      <c r="K301">
        <v>161.69999999999999</v>
      </c>
      <c r="L301">
        <v>113.1</v>
      </c>
      <c r="M301">
        <v>163.9</v>
      </c>
      <c r="N301">
        <v>157.6</v>
      </c>
      <c r="O301">
        <v>168.9</v>
      </c>
      <c r="P301">
        <v>158</v>
      </c>
      <c r="Q301" s="3">
        <f t="shared" si="18"/>
        <v>158.77692307692308</v>
      </c>
      <c r="R301" s="3">
        <v>188.8</v>
      </c>
      <c r="S301">
        <v>158.80000000000001</v>
      </c>
      <c r="T301">
        <v>148.5</v>
      </c>
      <c r="U301">
        <v>157.30000000000001</v>
      </c>
      <c r="V301" s="3">
        <f t="shared" si="19"/>
        <v>154.86666666666667</v>
      </c>
      <c r="W301">
        <v>161.4</v>
      </c>
      <c r="X301" s="3">
        <f t="shared" si="20"/>
        <v>161.4</v>
      </c>
      <c r="Y301" s="3">
        <v>162.30000000000001</v>
      </c>
      <c r="Z301">
        <v>155.6</v>
      </c>
      <c r="AA301">
        <v>151.80000000000001</v>
      </c>
      <c r="AB301">
        <v>146.6</v>
      </c>
      <c r="AC301">
        <v>153.19999999999999</v>
      </c>
      <c r="AD301">
        <v>155.4</v>
      </c>
      <c r="AE301" s="3">
        <f t="shared" si="21"/>
        <v>152.52000000000001</v>
      </c>
      <c r="AF301" s="3">
        <v>160.30000000000001</v>
      </c>
      <c r="AG301" s="3">
        <v>154.4</v>
      </c>
      <c r="AH301">
        <v>157.80000000000001</v>
      </c>
    </row>
    <row r="302" spans="1:34" x14ac:dyDescent="0.3">
      <c r="A302" t="s">
        <v>30</v>
      </c>
      <c r="B302">
        <v>2021</v>
      </c>
      <c r="C302" t="s">
        <v>38</v>
      </c>
      <c r="D302">
        <v>145.1</v>
      </c>
      <c r="E302">
        <v>198.5</v>
      </c>
      <c r="F302">
        <v>168.6</v>
      </c>
      <c r="G302">
        <v>155.80000000000001</v>
      </c>
      <c r="H302">
        <v>184.4</v>
      </c>
      <c r="I302">
        <v>162.30000000000001</v>
      </c>
      <c r="J302">
        <v>138.4</v>
      </c>
      <c r="K302">
        <v>165.1</v>
      </c>
      <c r="L302">
        <v>114.3</v>
      </c>
      <c r="M302">
        <v>169.7</v>
      </c>
      <c r="N302">
        <v>164.6</v>
      </c>
      <c r="O302">
        <v>169.8</v>
      </c>
      <c r="P302">
        <v>158.69999999999999</v>
      </c>
      <c r="Q302" s="3">
        <f t="shared" si="18"/>
        <v>161.17692307692306</v>
      </c>
      <c r="R302" s="3">
        <v>189.6</v>
      </c>
      <c r="S302">
        <v>165.3</v>
      </c>
      <c r="T302">
        <v>160.6</v>
      </c>
      <c r="U302">
        <v>164.5</v>
      </c>
      <c r="V302" s="3">
        <f t="shared" si="19"/>
        <v>163.46666666666667</v>
      </c>
      <c r="W302" t="s">
        <v>32</v>
      </c>
      <c r="X302" s="3">
        <f t="shared" si="20"/>
        <v>161.6</v>
      </c>
      <c r="Y302" s="3">
        <v>169.1</v>
      </c>
      <c r="Z302">
        <v>161.69999999999999</v>
      </c>
      <c r="AA302">
        <v>158.80000000000001</v>
      </c>
      <c r="AB302">
        <v>153.19999999999999</v>
      </c>
      <c r="AC302">
        <v>160</v>
      </c>
      <c r="AD302">
        <v>159.30000000000001</v>
      </c>
      <c r="AE302" s="3">
        <f t="shared" si="21"/>
        <v>158.6</v>
      </c>
      <c r="AF302" s="3">
        <v>167.6</v>
      </c>
      <c r="AG302" s="3">
        <v>161.1</v>
      </c>
      <c r="AH302">
        <v>161.1</v>
      </c>
    </row>
    <row r="303" spans="1:34" x14ac:dyDescent="0.3">
      <c r="A303" t="s">
        <v>33</v>
      </c>
      <c r="B303">
        <v>2021</v>
      </c>
      <c r="C303" t="s">
        <v>38</v>
      </c>
      <c r="D303">
        <v>148.80000000000001</v>
      </c>
      <c r="E303">
        <v>204.3</v>
      </c>
      <c r="F303">
        <v>173</v>
      </c>
      <c r="G303">
        <v>156.5</v>
      </c>
      <c r="H303">
        <v>168.8</v>
      </c>
      <c r="I303">
        <v>172.5</v>
      </c>
      <c r="J303">
        <v>166.5</v>
      </c>
      <c r="K303">
        <v>165.9</v>
      </c>
      <c r="L303">
        <v>115.9</v>
      </c>
      <c r="M303">
        <v>165.2</v>
      </c>
      <c r="N303">
        <v>152</v>
      </c>
      <c r="O303">
        <v>171.1</v>
      </c>
      <c r="P303">
        <v>164.2</v>
      </c>
      <c r="Q303" s="3">
        <f t="shared" si="18"/>
        <v>163.43846153846155</v>
      </c>
      <c r="R303" s="3">
        <v>198.2</v>
      </c>
      <c r="S303">
        <v>156.5</v>
      </c>
      <c r="T303">
        <v>140.19999999999999</v>
      </c>
      <c r="U303">
        <v>154.1</v>
      </c>
      <c r="V303" s="3">
        <f t="shared" si="19"/>
        <v>150.26666666666665</v>
      </c>
      <c r="W303">
        <v>161.6</v>
      </c>
      <c r="X303" s="3">
        <f t="shared" si="20"/>
        <v>161.6</v>
      </c>
      <c r="Y303" s="3">
        <v>160.4</v>
      </c>
      <c r="Z303">
        <v>155.5</v>
      </c>
      <c r="AA303">
        <v>150.1</v>
      </c>
      <c r="AB303">
        <v>145</v>
      </c>
      <c r="AC303">
        <v>152.6</v>
      </c>
      <c r="AD303">
        <v>157.5</v>
      </c>
      <c r="AE303" s="3">
        <f t="shared" si="21"/>
        <v>152.14000000000001</v>
      </c>
      <c r="AF303" s="3">
        <v>156.6</v>
      </c>
      <c r="AG303" s="3">
        <v>152.30000000000001</v>
      </c>
      <c r="AH303">
        <v>159.5</v>
      </c>
    </row>
    <row r="304" spans="1:34" x14ac:dyDescent="0.3">
      <c r="A304" t="s">
        <v>34</v>
      </c>
      <c r="B304">
        <v>2021</v>
      </c>
      <c r="C304" t="s">
        <v>38</v>
      </c>
      <c r="D304">
        <v>146.30000000000001</v>
      </c>
      <c r="E304">
        <v>200.5</v>
      </c>
      <c r="F304">
        <v>170.3</v>
      </c>
      <c r="G304">
        <v>156.1</v>
      </c>
      <c r="H304">
        <v>178.7</v>
      </c>
      <c r="I304">
        <v>167.1</v>
      </c>
      <c r="J304">
        <v>147.9</v>
      </c>
      <c r="K304">
        <v>165.4</v>
      </c>
      <c r="L304">
        <v>114.8</v>
      </c>
      <c r="M304">
        <v>168.2</v>
      </c>
      <c r="N304">
        <v>159.30000000000001</v>
      </c>
      <c r="O304">
        <v>170.4</v>
      </c>
      <c r="P304">
        <v>160.69999999999999</v>
      </c>
      <c r="Q304" s="3">
        <f t="shared" si="18"/>
        <v>161.9769230769231</v>
      </c>
      <c r="R304" s="3">
        <v>191.9</v>
      </c>
      <c r="S304">
        <v>161.80000000000001</v>
      </c>
      <c r="T304">
        <v>152.1</v>
      </c>
      <c r="U304">
        <v>160.4</v>
      </c>
      <c r="V304" s="3">
        <f t="shared" si="19"/>
        <v>158.1</v>
      </c>
      <c r="W304">
        <v>161.6</v>
      </c>
      <c r="X304" s="3">
        <f t="shared" si="20"/>
        <v>161.6</v>
      </c>
      <c r="Y304" s="3">
        <v>165.8</v>
      </c>
      <c r="Z304">
        <v>159.4</v>
      </c>
      <c r="AA304">
        <v>154.69999999999999</v>
      </c>
      <c r="AB304">
        <v>148.9</v>
      </c>
      <c r="AC304">
        <v>155.80000000000001</v>
      </c>
      <c r="AD304">
        <v>158.6</v>
      </c>
      <c r="AE304" s="3">
        <f t="shared" si="21"/>
        <v>155.47999999999999</v>
      </c>
      <c r="AF304" s="3">
        <v>161.19999999999999</v>
      </c>
      <c r="AG304" s="3">
        <v>156.80000000000001</v>
      </c>
      <c r="AH304">
        <v>160.4</v>
      </c>
    </row>
    <row r="305" spans="1:34" x14ac:dyDescent="0.3">
      <c r="A305" t="s">
        <v>30</v>
      </c>
      <c r="B305">
        <v>2021</v>
      </c>
      <c r="C305" t="s">
        <v>39</v>
      </c>
      <c r="D305">
        <v>145.6</v>
      </c>
      <c r="E305">
        <v>200.1</v>
      </c>
      <c r="F305">
        <v>179.3</v>
      </c>
      <c r="G305">
        <v>156.1</v>
      </c>
      <c r="H305">
        <v>190.4</v>
      </c>
      <c r="I305">
        <v>158.6</v>
      </c>
      <c r="J305">
        <v>144.69999999999999</v>
      </c>
      <c r="K305">
        <v>165.5</v>
      </c>
      <c r="L305">
        <v>114.6</v>
      </c>
      <c r="M305">
        <v>170</v>
      </c>
      <c r="N305">
        <v>165.5</v>
      </c>
      <c r="O305">
        <v>171.7</v>
      </c>
      <c r="P305">
        <v>160.5</v>
      </c>
      <c r="Q305" s="3">
        <f t="shared" si="18"/>
        <v>163.27692307692308</v>
      </c>
      <c r="R305" s="3">
        <v>189.1</v>
      </c>
      <c r="S305">
        <v>165.3</v>
      </c>
      <c r="T305">
        <v>159.9</v>
      </c>
      <c r="U305">
        <v>164.6</v>
      </c>
      <c r="V305" s="3">
        <f t="shared" si="19"/>
        <v>163.26666666666668</v>
      </c>
      <c r="W305" t="s">
        <v>32</v>
      </c>
      <c r="X305" s="3">
        <f t="shared" si="20"/>
        <v>160.5</v>
      </c>
      <c r="Y305" s="3">
        <v>169.7</v>
      </c>
      <c r="Z305">
        <v>162.1</v>
      </c>
      <c r="AA305">
        <v>159.19999999999999</v>
      </c>
      <c r="AB305">
        <v>154.19999999999999</v>
      </c>
      <c r="AC305">
        <v>160.4</v>
      </c>
      <c r="AD305">
        <v>159.4</v>
      </c>
      <c r="AE305" s="3">
        <f t="shared" si="21"/>
        <v>159.06</v>
      </c>
      <c r="AF305" s="3">
        <v>166.8</v>
      </c>
      <c r="AG305" s="3">
        <v>161.5</v>
      </c>
      <c r="AH305">
        <v>162.1</v>
      </c>
    </row>
    <row r="306" spans="1:34" x14ac:dyDescent="0.3">
      <c r="A306" t="s">
        <v>33</v>
      </c>
      <c r="B306">
        <v>2021</v>
      </c>
      <c r="C306" t="s">
        <v>39</v>
      </c>
      <c r="D306">
        <v>149.19999999999999</v>
      </c>
      <c r="E306">
        <v>205.5</v>
      </c>
      <c r="F306">
        <v>182.8</v>
      </c>
      <c r="G306">
        <v>156.5</v>
      </c>
      <c r="H306">
        <v>172.2</v>
      </c>
      <c r="I306">
        <v>171.5</v>
      </c>
      <c r="J306">
        <v>176.2</v>
      </c>
      <c r="K306">
        <v>166.9</v>
      </c>
      <c r="L306">
        <v>116.1</v>
      </c>
      <c r="M306">
        <v>165.5</v>
      </c>
      <c r="N306">
        <v>152.30000000000001</v>
      </c>
      <c r="O306">
        <v>173.3</v>
      </c>
      <c r="P306">
        <v>166.2</v>
      </c>
      <c r="Q306" s="3">
        <f t="shared" si="18"/>
        <v>165.7076923076923</v>
      </c>
      <c r="R306" s="3">
        <v>195.6</v>
      </c>
      <c r="S306">
        <v>157.30000000000001</v>
      </c>
      <c r="T306">
        <v>140.5</v>
      </c>
      <c r="U306">
        <v>154.80000000000001</v>
      </c>
      <c r="V306" s="3">
        <f t="shared" si="19"/>
        <v>150.86666666666667</v>
      </c>
      <c r="W306">
        <v>160.5</v>
      </c>
      <c r="X306" s="3">
        <f t="shared" si="20"/>
        <v>160.5</v>
      </c>
      <c r="Y306" s="3">
        <v>160.80000000000001</v>
      </c>
      <c r="Z306">
        <v>156.1</v>
      </c>
      <c r="AA306">
        <v>149.80000000000001</v>
      </c>
      <c r="AB306">
        <v>147.5</v>
      </c>
      <c r="AC306">
        <v>150.69999999999999</v>
      </c>
      <c r="AD306">
        <v>158</v>
      </c>
      <c r="AE306" s="3">
        <f t="shared" si="21"/>
        <v>152.41999999999999</v>
      </c>
      <c r="AF306" s="3">
        <v>158.1</v>
      </c>
      <c r="AG306" s="3">
        <v>153.4</v>
      </c>
      <c r="AH306">
        <v>160.4</v>
      </c>
    </row>
    <row r="307" spans="1:34" x14ac:dyDescent="0.3">
      <c r="A307" t="s">
        <v>34</v>
      </c>
      <c r="B307">
        <v>2021</v>
      </c>
      <c r="C307" t="s">
        <v>39</v>
      </c>
      <c r="D307">
        <v>146.69999999999999</v>
      </c>
      <c r="E307">
        <v>202</v>
      </c>
      <c r="F307">
        <v>180.7</v>
      </c>
      <c r="G307">
        <v>156.19999999999999</v>
      </c>
      <c r="H307">
        <v>183.7</v>
      </c>
      <c r="I307">
        <v>164.6</v>
      </c>
      <c r="J307">
        <v>155.4</v>
      </c>
      <c r="K307">
        <v>166</v>
      </c>
      <c r="L307">
        <v>115.1</v>
      </c>
      <c r="M307">
        <v>168.5</v>
      </c>
      <c r="N307">
        <v>160</v>
      </c>
      <c r="O307">
        <v>172.4</v>
      </c>
      <c r="P307">
        <v>162.6</v>
      </c>
      <c r="Q307" s="3">
        <f t="shared" si="18"/>
        <v>164.14615384615385</v>
      </c>
      <c r="R307" s="3">
        <v>190.8</v>
      </c>
      <c r="S307">
        <v>162.19999999999999</v>
      </c>
      <c r="T307">
        <v>151.80000000000001</v>
      </c>
      <c r="U307">
        <v>160.69999999999999</v>
      </c>
      <c r="V307" s="3">
        <f t="shared" si="19"/>
        <v>158.23333333333332</v>
      </c>
      <c r="W307">
        <v>160.5</v>
      </c>
      <c r="X307" s="3">
        <f t="shared" si="20"/>
        <v>160.5</v>
      </c>
      <c r="Y307" s="3">
        <v>166.3</v>
      </c>
      <c r="Z307">
        <v>159.80000000000001</v>
      </c>
      <c r="AA307">
        <v>154.80000000000001</v>
      </c>
      <c r="AB307">
        <v>150.69999999999999</v>
      </c>
      <c r="AC307">
        <v>154.9</v>
      </c>
      <c r="AD307">
        <v>158.80000000000001</v>
      </c>
      <c r="AE307" s="3">
        <f t="shared" si="21"/>
        <v>155.80000000000001</v>
      </c>
      <c r="AF307" s="3">
        <v>161.69999999999999</v>
      </c>
      <c r="AG307" s="3">
        <v>157.6</v>
      </c>
      <c r="AH307">
        <v>161.30000000000001</v>
      </c>
    </row>
    <row r="308" spans="1:34" x14ac:dyDescent="0.3">
      <c r="A308" t="s">
        <v>30</v>
      </c>
      <c r="B308">
        <v>2021</v>
      </c>
      <c r="C308" t="s">
        <v>40</v>
      </c>
      <c r="D308">
        <v>145.1</v>
      </c>
      <c r="E308">
        <v>204.5</v>
      </c>
      <c r="F308">
        <v>180.4</v>
      </c>
      <c r="G308">
        <v>157.1</v>
      </c>
      <c r="H308">
        <v>188.7</v>
      </c>
      <c r="I308">
        <v>157.69999999999999</v>
      </c>
      <c r="J308">
        <v>152.80000000000001</v>
      </c>
      <c r="K308">
        <v>163.6</v>
      </c>
      <c r="L308">
        <v>113.9</v>
      </c>
      <c r="M308">
        <v>169.7</v>
      </c>
      <c r="N308">
        <v>166.2</v>
      </c>
      <c r="O308">
        <v>171</v>
      </c>
      <c r="P308">
        <v>161.69999999999999</v>
      </c>
      <c r="Q308" s="3">
        <f t="shared" si="18"/>
        <v>164.03076923076924</v>
      </c>
      <c r="R308" s="3">
        <v>189.7</v>
      </c>
      <c r="S308">
        <v>166</v>
      </c>
      <c r="T308">
        <v>161.1</v>
      </c>
      <c r="U308">
        <v>165.3</v>
      </c>
      <c r="V308" s="3">
        <f t="shared" si="19"/>
        <v>164.13333333333335</v>
      </c>
      <c r="W308" t="s">
        <v>32</v>
      </c>
      <c r="X308" s="3">
        <f t="shared" si="20"/>
        <v>161.5</v>
      </c>
      <c r="Y308" s="3">
        <v>170.4</v>
      </c>
      <c r="Z308">
        <v>162.5</v>
      </c>
      <c r="AA308">
        <v>160.30000000000001</v>
      </c>
      <c r="AB308">
        <v>157.1</v>
      </c>
      <c r="AC308">
        <v>160.69999999999999</v>
      </c>
      <c r="AD308">
        <v>160.4</v>
      </c>
      <c r="AE308" s="3">
        <f t="shared" si="21"/>
        <v>160.19999999999999</v>
      </c>
      <c r="AF308" s="3">
        <v>167.2</v>
      </c>
      <c r="AG308" s="3">
        <v>162.80000000000001</v>
      </c>
      <c r="AH308">
        <v>163.19999999999999</v>
      </c>
    </row>
    <row r="309" spans="1:34" x14ac:dyDescent="0.3">
      <c r="A309" t="s">
        <v>33</v>
      </c>
      <c r="B309">
        <v>2021</v>
      </c>
      <c r="C309" t="s">
        <v>40</v>
      </c>
      <c r="D309">
        <v>149.1</v>
      </c>
      <c r="E309">
        <v>210.9</v>
      </c>
      <c r="F309">
        <v>185</v>
      </c>
      <c r="G309">
        <v>158.19999999999999</v>
      </c>
      <c r="H309">
        <v>170.6</v>
      </c>
      <c r="I309">
        <v>170.9</v>
      </c>
      <c r="J309">
        <v>186.4</v>
      </c>
      <c r="K309">
        <v>164.7</v>
      </c>
      <c r="L309">
        <v>115.7</v>
      </c>
      <c r="M309">
        <v>165.5</v>
      </c>
      <c r="N309">
        <v>153.4</v>
      </c>
      <c r="O309">
        <v>173.5</v>
      </c>
      <c r="P309">
        <v>167.9</v>
      </c>
      <c r="Q309" s="3">
        <f t="shared" si="18"/>
        <v>167.06153846153848</v>
      </c>
      <c r="R309" s="3">
        <v>195.5</v>
      </c>
      <c r="S309">
        <v>157.9</v>
      </c>
      <c r="T309">
        <v>141.9</v>
      </c>
      <c r="U309">
        <v>155.5</v>
      </c>
      <c r="V309" s="3">
        <f t="shared" si="19"/>
        <v>151.76666666666668</v>
      </c>
      <c r="W309">
        <v>161.5</v>
      </c>
      <c r="X309" s="3">
        <f t="shared" si="20"/>
        <v>161.5</v>
      </c>
      <c r="Y309" s="3">
        <v>161.5</v>
      </c>
      <c r="Z309">
        <v>157.69999999999999</v>
      </c>
      <c r="AA309">
        <v>150.69999999999999</v>
      </c>
      <c r="AB309">
        <v>149.5</v>
      </c>
      <c r="AC309">
        <v>151.19999999999999</v>
      </c>
      <c r="AD309">
        <v>159.6</v>
      </c>
      <c r="AE309" s="3">
        <f t="shared" si="21"/>
        <v>153.73999999999998</v>
      </c>
      <c r="AF309" s="3">
        <v>160.30000000000001</v>
      </c>
      <c r="AG309" s="3">
        <v>155</v>
      </c>
      <c r="AH309">
        <v>161.80000000000001</v>
      </c>
    </row>
    <row r="310" spans="1:34" x14ac:dyDescent="0.3">
      <c r="A310" t="s">
        <v>34</v>
      </c>
      <c r="B310">
        <v>2021</v>
      </c>
      <c r="C310" t="s">
        <v>40</v>
      </c>
      <c r="D310">
        <v>146.4</v>
      </c>
      <c r="E310">
        <v>206.8</v>
      </c>
      <c r="F310">
        <v>182.2</v>
      </c>
      <c r="G310">
        <v>157.5</v>
      </c>
      <c r="H310">
        <v>182.1</v>
      </c>
      <c r="I310">
        <v>163.9</v>
      </c>
      <c r="J310">
        <v>164.2</v>
      </c>
      <c r="K310">
        <v>164</v>
      </c>
      <c r="L310">
        <v>114.5</v>
      </c>
      <c r="M310">
        <v>168.3</v>
      </c>
      <c r="N310">
        <v>160.9</v>
      </c>
      <c r="O310">
        <v>172.2</v>
      </c>
      <c r="P310">
        <v>164</v>
      </c>
      <c r="Q310" s="3">
        <f t="shared" si="18"/>
        <v>165.15384615384616</v>
      </c>
      <c r="R310" s="3">
        <v>191.2</v>
      </c>
      <c r="S310">
        <v>162.80000000000001</v>
      </c>
      <c r="T310">
        <v>153.1</v>
      </c>
      <c r="U310">
        <v>161.4</v>
      </c>
      <c r="V310" s="3">
        <f t="shared" si="19"/>
        <v>159.1</v>
      </c>
      <c r="W310">
        <v>161.5</v>
      </c>
      <c r="X310" s="3">
        <f t="shared" si="20"/>
        <v>161.5</v>
      </c>
      <c r="Y310" s="3">
        <v>167</v>
      </c>
      <c r="Z310">
        <v>160.69999999999999</v>
      </c>
      <c r="AA310">
        <v>155.80000000000001</v>
      </c>
      <c r="AB310">
        <v>153.1</v>
      </c>
      <c r="AC310">
        <v>155.30000000000001</v>
      </c>
      <c r="AD310">
        <v>160.1</v>
      </c>
      <c r="AE310" s="3">
        <f t="shared" si="21"/>
        <v>157.00000000000003</v>
      </c>
      <c r="AF310" s="3">
        <v>163.19999999999999</v>
      </c>
      <c r="AG310" s="3">
        <v>159</v>
      </c>
      <c r="AH310">
        <v>162.5</v>
      </c>
    </row>
    <row r="311" spans="1:34" x14ac:dyDescent="0.3">
      <c r="A311" t="s">
        <v>30</v>
      </c>
      <c r="B311">
        <v>2021</v>
      </c>
      <c r="C311" t="s">
        <v>41</v>
      </c>
      <c r="D311">
        <v>144.9</v>
      </c>
      <c r="E311">
        <v>202.3</v>
      </c>
      <c r="F311">
        <v>176.5</v>
      </c>
      <c r="G311">
        <v>157.5</v>
      </c>
      <c r="H311">
        <v>190.9</v>
      </c>
      <c r="I311">
        <v>155.69999999999999</v>
      </c>
      <c r="J311">
        <v>153.9</v>
      </c>
      <c r="K311">
        <v>162.80000000000001</v>
      </c>
      <c r="L311">
        <v>115.2</v>
      </c>
      <c r="M311">
        <v>169.8</v>
      </c>
      <c r="N311">
        <v>167.6</v>
      </c>
      <c r="O311">
        <v>171.9</v>
      </c>
      <c r="P311">
        <v>161.80000000000001</v>
      </c>
      <c r="Q311" s="3">
        <f t="shared" si="18"/>
        <v>163.90769230769232</v>
      </c>
      <c r="R311" s="3">
        <v>190.2</v>
      </c>
      <c r="S311">
        <v>167</v>
      </c>
      <c r="T311">
        <v>162.6</v>
      </c>
      <c r="U311">
        <v>166.3</v>
      </c>
      <c r="V311" s="3">
        <f t="shared" si="19"/>
        <v>165.3</v>
      </c>
      <c r="W311" t="s">
        <v>32</v>
      </c>
      <c r="X311" s="3">
        <f t="shared" si="20"/>
        <v>162.1</v>
      </c>
      <c r="Y311" s="3">
        <v>171.1</v>
      </c>
      <c r="Z311">
        <v>163.1</v>
      </c>
      <c r="AA311">
        <v>160.9</v>
      </c>
      <c r="AB311">
        <v>157.69999999999999</v>
      </c>
      <c r="AC311">
        <v>161.1</v>
      </c>
      <c r="AD311">
        <v>160.30000000000001</v>
      </c>
      <c r="AE311" s="3">
        <f t="shared" si="21"/>
        <v>160.61999999999998</v>
      </c>
      <c r="AF311" s="3">
        <v>167.5</v>
      </c>
      <c r="AG311" s="3">
        <v>163.30000000000001</v>
      </c>
      <c r="AH311">
        <v>163.6</v>
      </c>
    </row>
    <row r="312" spans="1:34" x14ac:dyDescent="0.3">
      <c r="A312" t="s">
        <v>33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159.19999999999999</v>
      </c>
      <c r="H312">
        <v>175</v>
      </c>
      <c r="I312">
        <v>161.30000000000001</v>
      </c>
      <c r="J312">
        <v>183.3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 s="3">
        <f t="shared" si="18"/>
        <v>165.99230769230769</v>
      </c>
      <c r="R312" s="3">
        <v>196.5</v>
      </c>
      <c r="S312">
        <v>159.80000000000001</v>
      </c>
      <c r="T312">
        <v>143.6</v>
      </c>
      <c r="U312">
        <v>157.30000000000001</v>
      </c>
      <c r="V312" s="3">
        <f t="shared" si="19"/>
        <v>153.56666666666666</v>
      </c>
      <c r="W312">
        <v>162.1</v>
      </c>
      <c r="X312" s="3">
        <f t="shared" si="20"/>
        <v>162.1</v>
      </c>
      <c r="Y312" s="3">
        <v>162.80000000000001</v>
      </c>
      <c r="Z312">
        <v>160.69999999999999</v>
      </c>
      <c r="AA312">
        <v>153.19999999999999</v>
      </c>
      <c r="AB312">
        <v>150.4</v>
      </c>
      <c r="AC312">
        <v>153.69999999999999</v>
      </c>
      <c r="AD312">
        <v>159.6</v>
      </c>
      <c r="AE312" s="3">
        <f t="shared" si="21"/>
        <v>155.52000000000001</v>
      </c>
      <c r="AF312" s="3">
        <v>160.4</v>
      </c>
      <c r="AG312" s="3">
        <v>156</v>
      </c>
      <c r="AH312">
        <v>162.30000000000001</v>
      </c>
    </row>
    <row r="313" spans="1:34" x14ac:dyDescent="0.3">
      <c r="A313" t="s">
        <v>34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156.80000000000001</v>
      </c>
      <c r="J313">
        <v>162.19999999999999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 s="3">
        <f t="shared" si="18"/>
        <v>164.76923076923077</v>
      </c>
      <c r="R313" s="3">
        <v>192.1</v>
      </c>
      <c r="S313">
        <v>164.5</v>
      </c>
      <c r="T313">
        <v>155.30000000000001</v>
      </c>
      <c r="U313">
        <v>163.19999999999999</v>
      </c>
      <c r="V313" s="3">
        <f t="shared" si="19"/>
        <v>161</v>
      </c>
      <c r="W313">
        <v>162.1</v>
      </c>
      <c r="X313" s="3">
        <f t="shared" si="20"/>
        <v>162.1</v>
      </c>
      <c r="Y313" s="3">
        <v>168.4</v>
      </c>
      <c r="Z313">
        <v>162.6</v>
      </c>
      <c r="AA313">
        <v>157.5</v>
      </c>
      <c r="AB313">
        <v>154</v>
      </c>
      <c r="AC313">
        <v>157.6</v>
      </c>
      <c r="AD313">
        <v>160</v>
      </c>
      <c r="AE313" s="3">
        <f t="shared" si="21"/>
        <v>158.34</v>
      </c>
      <c r="AF313" s="3">
        <v>163.80000000000001</v>
      </c>
      <c r="AG313" s="3">
        <v>160</v>
      </c>
      <c r="AH313">
        <v>163.19999999999999</v>
      </c>
    </row>
    <row r="314" spans="1:34" x14ac:dyDescent="0.3">
      <c r="A314" t="s">
        <v>30</v>
      </c>
      <c r="B314">
        <v>2021</v>
      </c>
      <c r="C314" t="s">
        <v>42</v>
      </c>
      <c r="D314">
        <v>145.4</v>
      </c>
      <c r="E314">
        <v>202.1</v>
      </c>
      <c r="F314">
        <v>172</v>
      </c>
      <c r="G314">
        <v>158</v>
      </c>
      <c r="H314">
        <v>195.5</v>
      </c>
      <c r="I314">
        <v>152.69999999999999</v>
      </c>
      <c r="J314">
        <v>151.4</v>
      </c>
      <c r="K314">
        <v>163.9</v>
      </c>
      <c r="L314">
        <v>119.3</v>
      </c>
      <c r="M314">
        <v>170.1</v>
      </c>
      <c r="N314">
        <v>168.3</v>
      </c>
      <c r="O314">
        <v>172.8</v>
      </c>
      <c r="P314">
        <v>162.1</v>
      </c>
      <c r="Q314" s="3">
        <f t="shared" si="18"/>
        <v>164.12307692307692</v>
      </c>
      <c r="R314" s="3">
        <v>190.5</v>
      </c>
      <c r="S314">
        <v>167.7</v>
      </c>
      <c r="T314">
        <v>163.6</v>
      </c>
      <c r="U314">
        <v>167.1</v>
      </c>
      <c r="V314" s="3">
        <f t="shared" si="19"/>
        <v>166.13333333333333</v>
      </c>
      <c r="W314" t="s">
        <v>32</v>
      </c>
      <c r="X314" s="3">
        <f t="shared" si="20"/>
        <v>162.1</v>
      </c>
      <c r="Y314" s="3">
        <v>171.9</v>
      </c>
      <c r="Z314">
        <v>163.69999999999999</v>
      </c>
      <c r="AA314">
        <v>161.30000000000001</v>
      </c>
      <c r="AB314">
        <v>157.80000000000001</v>
      </c>
      <c r="AC314">
        <v>162.69999999999999</v>
      </c>
      <c r="AD314">
        <v>160.19999999999999</v>
      </c>
      <c r="AE314" s="3">
        <f t="shared" si="21"/>
        <v>161.14000000000001</v>
      </c>
      <c r="AF314" s="3">
        <v>168.5</v>
      </c>
      <c r="AG314" s="3">
        <v>163.80000000000001</v>
      </c>
      <c r="AH314">
        <v>164</v>
      </c>
    </row>
    <row r="315" spans="1:34" x14ac:dyDescent="0.3">
      <c r="A315" t="s">
        <v>33</v>
      </c>
      <c r="B315">
        <v>2021</v>
      </c>
      <c r="C315" t="s">
        <v>42</v>
      </c>
      <c r="D315">
        <v>149.30000000000001</v>
      </c>
      <c r="E315">
        <v>207.4</v>
      </c>
      <c r="F315">
        <v>174.1</v>
      </c>
      <c r="G315">
        <v>159.1</v>
      </c>
      <c r="H315">
        <v>175</v>
      </c>
      <c r="I315">
        <v>161.19999999999999</v>
      </c>
      <c r="J315">
        <v>183.5</v>
      </c>
      <c r="K315">
        <v>164.5</v>
      </c>
      <c r="L315">
        <v>120.4</v>
      </c>
      <c r="M315">
        <v>166.2</v>
      </c>
      <c r="N315">
        <v>154.80000000000001</v>
      </c>
      <c r="O315">
        <v>175.1</v>
      </c>
      <c r="P315">
        <v>167.3</v>
      </c>
      <c r="Q315" s="3">
        <f t="shared" si="18"/>
        <v>165.99230769230769</v>
      </c>
      <c r="R315" s="3">
        <v>196.5</v>
      </c>
      <c r="S315">
        <v>159.80000000000001</v>
      </c>
      <c r="T315">
        <v>143.6</v>
      </c>
      <c r="U315">
        <v>157.4</v>
      </c>
      <c r="V315" s="3">
        <f t="shared" si="19"/>
        <v>153.6</v>
      </c>
      <c r="W315">
        <v>162.1</v>
      </c>
      <c r="X315" s="3">
        <f t="shared" si="20"/>
        <v>162.1</v>
      </c>
      <c r="Y315" s="3">
        <v>162.80000000000001</v>
      </c>
      <c r="Z315">
        <v>160.80000000000001</v>
      </c>
      <c r="AA315">
        <v>153.30000000000001</v>
      </c>
      <c r="AB315">
        <v>150.5</v>
      </c>
      <c r="AC315">
        <v>153.9</v>
      </c>
      <c r="AD315">
        <v>159.6</v>
      </c>
      <c r="AE315" s="3">
        <f t="shared" si="21"/>
        <v>155.62</v>
      </c>
      <c r="AF315" s="3">
        <v>160.30000000000001</v>
      </c>
      <c r="AG315" s="3">
        <v>156</v>
      </c>
      <c r="AH315">
        <v>162.30000000000001</v>
      </c>
    </row>
    <row r="316" spans="1:34" x14ac:dyDescent="0.3">
      <c r="A316" t="s">
        <v>34</v>
      </c>
      <c r="B316">
        <v>2021</v>
      </c>
      <c r="C316" t="s">
        <v>42</v>
      </c>
      <c r="D316">
        <v>146.6</v>
      </c>
      <c r="E316">
        <v>204</v>
      </c>
      <c r="F316">
        <v>172.8</v>
      </c>
      <c r="G316">
        <v>158.4</v>
      </c>
      <c r="H316">
        <v>188</v>
      </c>
      <c r="I316">
        <v>156.69999999999999</v>
      </c>
      <c r="J316">
        <v>162.30000000000001</v>
      </c>
      <c r="K316">
        <v>164.1</v>
      </c>
      <c r="L316">
        <v>119.7</v>
      </c>
      <c r="M316">
        <v>168.8</v>
      </c>
      <c r="N316">
        <v>162.69999999999999</v>
      </c>
      <c r="O316">
        <v>173.9</v>
      </c>
      <c r="P316">
        <v>164</v>
      </c>
      <c r="Q316" s="3">
        <f t="shared" si="18"/>
        <v>164.76923076923077</v>
      </c>
      <c r="R316" s="3">
        <v>192.1</v>
      </c>
      <c r="S316">
        <v>164.6</v>
      </c>
      <c r="T316">
        <v>155.30000000000001</v>
      </c>
      <c r="U316">
        <v>163.30000000000001</v>
      </c>
      <c r="V316" s="3">
        <f t="shared" si="19"/>
        <v>161.06666666666666</v>
      </c>
      <c r="W316">
        <v>162.1</v>
      </c>
      <c r="X316" s="3">
        <f t="shared" si="20"/>
        <v>162.1</v>
      </c>
      <c r="Y316" s="3">
        <v>168.4</v>
      </c>
      <c r="Z316">
        <v>162.6</v>
      </c>
      <c r="AA316">
        <v>157.5</v>
      </c>
      <c r="AB316">
        <v>154</v>
      </c>
      <c r="AC316">
        <v>157.69999999999999</v>
      </c>
      <c r="AD316">
        <v>160</v>
      </c>
      <c r="AE316" s="3">
        <f t="shared" si="21"/>
        <v>158.35999999999999</v>
      </c>
      <c r="AF316" s="3">
        <v>163.69999999999999</v>
      </c>
      <c r="AG316" s="3">
        <v>160</v>
      </c>
      <c r="AH316">
        <v>163.19999999999999</v>
      </c>
    </row>
    <row r="317" spans="1:34" x14ac:dyDescent="0.3">
      <c r="A317" t="s">
        <v>30</v>
      </c>
      <c r="B317">
        <v>2021</v>
      </c>
      <c r="C317" t="s">
        <v>43</v>
      </c>
      <c r="D317">
        <v>146.1</v>
      </c>
      <c r="E317">
        <v>202.5</v>
      </c>
      <c r="F317">
        <v>170.1</v>
      </c>
      <c r="G317">
        <v>158.4</v>
      </c>
      <c r="H317">
        <v>198.8</v>
      </c>
      <c r="I317">
        <v>152.6</v>
      </c>
      <c r="J317">
        <v>170.4</v>
      </c>
      <c r="K317">
        <v>165.2</v>
      </c>
      <c r="L317">
        <v>121.6</v>
      </c>
      <c r="M317">
        <v>170.6</v>
      </c>
      <c r="N317">
        <v>168.8</v>
      </c>
      <c r="O317">
        <v>173.6</v>
      </c>
      <c r="P317">
        <v>165.5</v>
      </c>
      <c r="Q317" s="3">
        <f t="shared" si="18"/>
        <v>166.47692307692307</v>
      </c>
      <c r="R317" s="3">
        <v>191.2</v>
      </c>
      <c r="S317">
        <v>168.9</v>
      </c>
      <c r="T317">
        <v>164.8</v>
      </c>
      <c r="U317">
        <v>168.3</v>
      </c>
      <c r="V317" s="3">
        <f t="shared" si="19"/>
        <v>167.33333333333334</v>
      </c>
      <c r="W317" t="s">
        <v>32</v>
      </c>
      <c r="X317" s="3">
        <f t="shared" si="20"/>
        <v>163.6</v>
      </c>
      <c r="Y317" s="3">
        <v>172.5</v>
      </c>
      <c r="Z317">
        <v>165.5</v>
      </c>
      <c r="AA317">
        <v>162</v>
      </c>
      <c r="AB317">
        <v>159.5</v>
      </c>
      <c r="AC317">
        <v>163.19999999999999</v>
      </c>
      <c r="AD317">
        <v>161.1</v>
      </c>
      <c r="AE317" s="3">
        <f t="shared" si="21"/>
        <v>162.26000000000002</v>
      </c>
      <c r="AF317" s="3">
        <v>169</v>
      </c>
      <c r="AG317" s="3">
        <v>164.7</v>
      </c>
      <c r="AH317">
        <v>166.3</v>
      </c>
    </row>
    <row r="318" spans="1:34" x14ac:dyDescent="0.3">
      <c r="A318" t="s">
        <v>33</v>
      </c>
      <c r="B318">
        <v>2021</v>
      </c>
      <c r="C318" t="s">
        <v>43</v>
      </c>
      <c r="D318">
        <v>150.1</v>
      </c>
      <c r="E318">
        <v>208.4</v>
      </c>
      <c r="F318">
        <v>173</v>
      </c>
      <c r="G318">
        <v>159.19999999999999</v>
      </c>
      <c r="H318">
        <v>176.6</v>
      </c>
      <c r="I318">
        <v>159.30000000000001</v>
      </c>
      <c r="J318">
        <v>214.4</v>
      </c>
      <c r="K318">
        <v>165.3</v>
      </c>
      <c r="L318">
        <v>122.5</v>
      </c>
      <c r="M318">
        <v>166.8</v>
      </c>
      <c r="N318">
        <v>155.4</v>
      </c>
      <c r="O318">
        <v>175.9</v>
      </c>
      <c r="P318">
        <v>171.5</v>
      </c>
      <c r="Q318" s="3">
        <f t="shared" si="18"/>
        <v>169.10769230769236</v>
      </c>
      <c r="R318" s="3">
        <v>197</v>
      </c>
      <c r="S318">
        <v>160.80000000000001</v>
      </c>
      <c r="T318">
        <v>144.4</v>
      </c>
      <c r="U318">
        <v>158.30000000000001</v>
      </c>
      <c r="V318" s="3">
        <f t="shared" si="19"/>
        <v>154.50000000000003</v>
      </c>
      <c r="W318">
        <v>163.6</v>
      </c>
      <c r="X318" s="3">
        <f t="shared" si="20"/>
        <v>163.6</v>
      </c>
      <c r="Y318" s="3">
        <v>163.5</v>
      </c>
      <c r="Z318">
        <v>162.19999999999999</v>
      </c>
      <c r="AA318">
        <v>154.30000000000001</v>
      </c>
      <c r="AB318">
        <v>152.19999999999999</v>
      </c>
      <c r="AC318">
        <v>155.1</v>
      </c>
      <c r="AD318">
        <v>160.30000000000001</v>
      </c>
      <c r="AE318" s="3">
        <f t="shared" si="21"/>
        <v>156.82</v>
      </c>
      <c r="AF318" s="3">
        <v>160.30000000000001</v>
      </c>
      <c r="AG318" s="3">
        <v>157</v>
      </c>
      <c r="AH318">
        <v>164.6</v>
      </c>
    </row>
    <row r="319" spans="1:34" x14ac:dyDescent="0.3">
      <c r="A319" t="s">
        <v>34</v>
      </c>
      <c r="B319">
        <v>2021</v>
      </c>
      <c r="C319" t="s">
        <v>43</v>
      </c>
      <c r="D319">
        <v>147.4</v>
      </c>
      <c r="E319">
        <v>204.6</v>
      </c>
      <c r="F319">
        <v>171.2</v>
      </c>
      <c r="G319">
        <v>158.69999999999999</v>
      </c>
      <c r="H319">
        <v>190.6</v>
      </c>
      <c r="I319">
        <v>155.69999999999999</v>
      </c>
      <c r="J319">
        <v>185.3</v>
      </c>
      <c r="K319">
        <v>165.2</v>
      </c>
      <c r="L319">
        <v>121.9</v>
      </c>
      <c r="M319">
        <v>169.3</v>
      </c>
      <c r="N319">
        <v>163.19999999999999</v>
      </c>
      <c r="O319">
        <v>174.7</v>
      </c>
      <c r="P319">
        <v>167.7</v>
      </c>
      <c r="Q319" s="3">
        <f t="shared" si="18"/>
        <v>167.34615384615384</v>
      </c>
      <c r="R319" s="3">
        <v>192.7</v>
      </c>
      <c r="S319">
        <v>165.7</v>
      </c>
      <c r="T319">
        <v>156.30000000000001</v>
      </c>
      <c r="U319">
        <v>164.3</v>
      </c>
      <c r="V319" s="3">
        <f t="shared" si="19"/>
        <v>162.1</v>
      </c>
      <c r="W319">
        <v>163.6</v>
      </c>
      <c r="X319" s="3">
        <f t="shared" si="20"/>
        <v>163.6</v>
      </c>
      <c r="Y319" s="3">
        <v>169.1</v>
      </c>
      <c r="Z319">
        <v>164.2</v>
      </c>
      <c r="AA319">
        <v>158.4</v>
      </c>
      <c r="AB319">
        <v>155.69999999999999</v>
      </c>
      <c r="AC319">
        <v>158.6</v>
      </c>
      <c r="AD319">
        <v>160.80000000000001</v>
      </c>
      <c r="AE319" s="3">
        <f t="shared" si="21"/>
        <v>159.54000000000002</v>
      </c>
      <c r="AF319" s="3">
        <v>163.9</v>
      </c>
      <c r="AG319" s="3">
        <v>161</v>
      </c>
      <c r="AH319">
        <v>165.5</v>
      </c>
    </row>
    <row r="320" spans="1:34" x14ac:dyDescent="0.3">
      <c r="A320" t="s">
        <v>30</v>
      </c>
      <c r="B320">
        <v>2021</v>
      </c>
      <c r="C320" t="s">
        <v>45</v>
      </c>
      <c r="D320">
        <v>146.9</v>
      </c>
      <c r="E320">
        <v>199.8</v>
      </c>
      <c r="F320">
        <v>171.5</v>
      </c>
      <c r="G320">
        <v>159.1</v>
      </c>
      <c r="H320">
        <v>198.4</v>
      </c>
      <c r="I320">
        <v>153.19999999999999</v>
      </c>
      <c r="J320">
        <v>183.9</v>
      </c>
      <c r="K320">
        <v>165.4</v>
      </c>
      <c r="L320">
        <v>122.1</v>
      </c>
      <c r="M320">
        <v>170.8</v>
      </c>
      <c r="N320">
        <v>169.1</v>
      </c>
      <c r="O320">
        <v>174.3</v>
      </c>
      <c r="P320">
        <v>167.5</v>
      </c>
      <c r="Q320" s="3">
        <f t="shared" si="18"/>
        <v>167.84615384615384</v>
      </c>
      <c r="R320" s="3">
        <v>191.4</v>
      </c>
      <c r="S320">
        <v>170.4</v>
      </c>
      <c r="T320">
        <v>166</v>
      </c>
      <c r="U320">
        <v>169.8</v>
      </c>
      <c r="V320" s="3">
        <f t="shared" si="19"/>
        <v>168.73333333333332</v>
      </c>
      <c r="W320" t="s">
        <v>32</v>
      </c>
      <c r="X320" s="3">
        <f t="shared" si="20"/>
        <v>164.2</v>
      </c>
      <c r="Y320" s="3">
        <v>173.4</v>
      </c>
      <c r="Z320">
        <v>165.3</v>
      </c>
      <c r="AA320">
        <v>162.9</v>
      </c>
      <c r="AB320">
        <v>158.9</v>
      </c>
      <c r="AC320">
        <v>163.80000000000001</v>
      </c>
      <c r="AD320">
        <v>162.4</v>
      </c>
      <c r="AE320" s="3">
        <f t="shared" si="21"/>
        <v>162.66000000000003</v>
      </c>
      <c r="AF320" s="3">
        <v>169.3</v>
      </c>
      <c r="AG320" s="3">
        <v>165.2</v>
      </c>
      <c r="AH320">
        <v>167.6</v>
      </c>
    </row>
    <row r="321" spans="1:34" x14ac:dyDescent="0.3">
      <c r="A321" t="s">
        <v>33</v>
      </c>
      <c r="B321">
        <v>2021</v>
      </c>
      <c r="C321" t="s">
        <v>45</v>
      </c>
      <c r="D321">
        <v>151</v>
      </c>
      <c r="E321">
        <v>204.9</v>
      </c>
      <c r="F321">
        <v>175.4</v>
      </c>
      <c r="G321">
        <v>159.6</v>
      </c>
      <c r="H321">
        <v>175.8</v>
      </c>
      <c r="I321">
        <v>160.30000000000001</v>
      </c>
      <c r="J321">
        <v>229.1</v>
      </c>
      <c r="K321">
        <v>165.1</v>
      </c>
      <c r="L321">
        <v>123.1</v>
      </c>
      <c r="M321">
        <v>167.2</v>
      </c>
      <c r="N321">
        <v>156.1</v>
      </c>
      <c r="O321">
        <v>176.8</v>
      </c>
      <c r="P321">
        <v>173.5</v>
      </c>
      <c r="Q321" s="3">
        <f t="shared" si="18"/>
        <v>170.60769230769228</v>
      </c>
      <c r="R321" s="3">
        <v>197</v>
      </c>
      <c r="S321">
        <v>162.30000000000001</v>
      </c>
      <c r="T321">
        <v>145.30000000000001</v>
      </c>
      <c r="U321">
        <v>159.69999999999999</v>
      </c>
      <c r="V321" s="3">
        <f t="shared" si="19"/>
        <v>155.76666666666668</v>
      </c>
      <c r="W321">
        <v>164.2</v>
      </c>
      <c r="X321" s="3">
        <f t="shared" si="20"/>
        <v>164.2</v>
      </c>
      <c r="Y321" s="3">
        <v>164.2</v>
      </c>
      <c r="Z321">
        <v>161.6</v>
      </c>
      <c r="AA321">
        <v>155.19999999999999</v>
      </c>
      <c r="AB321">
        <v>151.19999999999999</v>
      </c>
      <c r="AC321">
        <v>156.69999999999999</v>
      </c>
      <c r="AD321">
        <v>161.80000000000001</v>
      </c>
      <c r="AE321" s="3">
        <f t="shared" si="21"/>
        <v>157.30000000000001</v>
      </c>
      <c r="AF321" s="3">
        <v>160.80000000000001</v>
      </c>
      <c r="AG321" s="3">
        <v>157.30000000000001</v>
      </c>
      <c r="AH321">
        <v>165.6</v>
      </c>
    </row>
    <row r="322" spans="1:34" x14ac:dyDescent="0.3">
      <c r="A322" t="s">
        <v>34</v>
      </c>
      <c r="B322">
        <v>2021</v>
      </c>
      <c r="C322" t="s">
        <v>45</v>
      </c>
      <c r="D322">
        <v>148.19999999999999</v>
      </c>
      <c r="E322">
        <v>201.6</v>
      </c>
      <c r="F322">
        <v>173</v>
      </c>
      <c r="G322">
        <v>159.30000000000001</v>
      </c>
      <c r="H322">
        <v>190.1</v>
      </c>
      <c r="I322">
        <v>156.5</v>
      </c>
      <c r="J322">
        <v>199.2</v>
      </c>
      <c r="K322">
        <v>165.3</v>
      </c>
      <c r="L322">
        <v>122.4</v>
      </c>
      <c r="M322">
        <v>169.6</v>
      </c>
      <c r="N322">
        <v>163.69999999999999</v>
      </c>
      <c r="O322">
        <v>175.5</v>
      </c>
      <c r="P322">
        <v>169.7</v>
      </c>
      <c r="Q322" s="3">
        <f t="shared" si="18"/>
        <v>168.77692307692308</v>
      </c>
      <c r="R322" s="3">
        <v>192.9</v>
      </c>
      <c r="S322">
        <v>167.2</v>
      </c>
      <c r="T322">
        <v>157.4</v>
      </c>
      <c r="U322">
        <v>165.8</v>
      </c>
      <c r="V322" s="3">
        <f t="shared" si="19"/>
        <v>163.46666666666667</v>
      </c>
      <c r="W322">
        <v>164.2</v>
      </c>
      <c r="X322" s="3">
        <f t="shared" si="20"/>
        <v>164.2</v>
      </c>
      <c r="Y322" s="3">
        <v>169.9</v>
      </c>
      <c r="Z322">
        <v>163.9</v>
      </c>
      <c r="AA322">
        <v>159.30000000000001</v>
      </c>
      <c r="AB322">
        <v>154.80000000000001</v>
      </c>
      <c r="AC322">
        <v>159.80000000000001</v>
      </c>
      <c r="AD322">
        <v>162.19999999999999</v>
      </c>
      <c r="AE322" s="3">
        <f t="shared" si="21"/>
        <v>160</v>
      </c>
      <c r="AF322" s="3">
        <v>164.3</v>
      </c>
      <c r="AG322" s="3">
        <v>161.4</v>
      </c>
      <c r="AH322">
        <v>166.7</v>
      </c>
    </row>
    <row r="323" spans="1:34" x14ac:dyDescent="0.3">
      <c r="A323" t="s">
        <v>30</v>
      </c>
      <c r="B323">
        <v>2021</v>
      </c>
      <c r="C323" t="s">
        <v>46</v>
      </c>
      <c r="D323">
        <v>147.4</v>
      </c>
      <c r="E323">
        <v>197</v>
      </c>
      <c r="F323">
        <v>176.5</v>
      </c>
      <c r="G323">
        <v>159.80000000000001</v>
      </c>
      <c r="H323">
        <v>195.8</v>
      </c>
      <c r="I323">
        <v>152</v>
      </c>
      <c r="J323">
        <v>172.3</v>
      </c>
      <c r="K323">
        <v>164.5</v>
      </c>
      <c r="L323">
        <v>120.6</v>
      </c>
      <c r="M323">
        <v>171.7</v>
      </c>
      <c r="N323">
        <v>169.7</v>
      </c>
      <c r="O323">
        <v>175.1</v>
      </c>
      <c r="P323">
        <v>165.8</v>
      </c>
      <c r="Q323" s="3">
        <f t="shared" si="18"/>
        <v>166.78461538461536</v>
      </c>
      <c r="R323" s="3">
        <v>190.8</v>
      </c>
      <c r="S323">
        <v>171.8</v>
      </c>
      <c r="T323">
        <v>167.3</v>
      </c>
      <c r="U323">
        <v>171.2</v>
      </c>
      <c r="V323" s="3">
        <f t="shared" si="19"/>
        <v>170.1</v>
      </c>
      <c r="W323" t="s">
        <v>32</v>
      </c>
      <c r="X323" s="3">
        <f t="shared" si="20"/>
        <v>163.4</v>
      </c>
      <c r="Y323" s="3">
        <v>174</v>
      </c>
      <c r="Z323">
        <v>165.6</v>
      </c>
      <c r="AA323">
        <v>163.9</v>
      </c>
      <c r="AB323">
        <v>160.1</v>
      </c>
      <c r="AC323">
        <v>164.5</v>
      </c>
      <c r="AD323">
        <v>162.80000000000001</v>
      </c>
      <c r="AE323" s="3">
        <f t="shared" si="21"/>
        <v>163.38000000000002</v>
      </c>
      <c r="AF323" s="3">
        <v>169.7</v>
      </c>
      <c r="AG323" s="3">
        <v>166</v>
      </c>
      <c r="AH323">
        <v>167</v>
      </c>
    </row>
    <row r="324" spans="1:34" x14ac:dyDescent="0.3">
      <c r="A324" t="s">
        <v>33</v>
      </c>
      <c r="B324">
        <v>2021</v>
      </c>
      <c r="C324" t="s">
        <v>46</v>
      </c>
      <c r="D324">
        <v>151.6</v>
      </c>
      <c r="E324">
        <v>202.2</v>
      </c>
      <c r="F324">
        <v>180</v>
      </c>
      <c r="G324">
        <v>160</v>
      </c>
      <c r="H324">
        <v>173.5</v>
      </c>
      <c r="I324">
        <v>158.30000000000001</v>
      </c>
      <c r="J324">
        <v>219.5</v>
      </c>
      <c r="K324">
        <v>164.2</v>
      </c>
      <c r="L324">
        <v>121.9</v>
      </c>
      <c r="M324">
        <v>168.2</v>
      </c>
      <c r="N324">
        <v>156.5</v>
      </c>
      <c r="O324">
        <v>178.2</v>
      </c>
      <c r="P324">
        <v>172.2</v>
      </c>
      <c r="Q324" s="3">
        <f t="shared" si="18"/>
        <v>169.71538461538464</v>
      </c>
      <c r="R324" s="3">
        <v>196.8</v>
      </c>
      <c r="S324">
        <v>163.30000000000001</v>
      </c>
      <c r="T324">
        <v>146.69999999999999</v>
      </c>
      <c r="U324">
        <v>160.69999999999999</v>
      </c>
      <c r="V324" s="3">
        <f t="shared" si="19"/>
        <v>156.9</v>
      </c>
      <c r="W324">
        <v>163.4</v>
      </c>
      <c r="X324" s="3">
        <f t="shared" si="20"/>
        <v>163.4</v>
      </c>
      <c r="Y324" s="3">
        <v>165.1</v>
      </c>
      <c r="Z324">
        <v>161.69999999999999</v>
      </c>
      <c r="AA324">
        <v>156</v>
      </c>
      <c r="AB324">
        <v>151.80000000000001</v>
      </c>
      <c r="AC324">
        <v>157.6</v>
      </c>
      <c r="AD324">
        <v>162.4</v>
      </c>
      <c r="AE324" s="3">
        <f t="shared" si="21"/>
        <v>157.9</v>
      </c>
      <c r="AF324" s="3">
        <v>160.6</v>
      </c>
      <c r="AG324" s="3">
        <v>157.80000000000001</v>
      </c>
      <c r="AH324">
        <v>165.2</v>
      </c>
    </row>
    <row r="325" spans="1:34" x14ac:dyDescent="0.3">
      <c r="A325" t="s">
        <v>34</v>
      </c>
      <c r="B325">
        <v>2021</v>
      </c>
      <c r="C325" t="s">
        <v>46</v>
      </c>
      <c r="D325">
        <v>148.69999999999999</v>
      </c>
      <c r="E325">
        <v>198.8</v>
      </c>
      <c r="F325">
        <v>177.9</v>
      </c>
      <c r="G325">
        <v>159.9</v>
      </c>
      <c r="H325">
        <v>187.6</v>
      </c>
      <c r="I325">
        <v>154.9</v>
      </c>
      <c r="J325">
        <v>188.3</v>
      </c>
      <c r="K325">
        <v>164.4</v>
      </c>
      <c r="L325">
        <v>121</v>
      </c>
      <c r="M325">
        <v>170.5</v>
      </c>
      <c r="N325">
        <v>164.2</v>
      </c>
      <c r="O325">
        <v>176.5</v>
      </c>
      <c r="P325">
        <v>168.2</v>
      </c>
      <c r="Q325" s="3">
        <f t="shared" si="18"/>
        <v>167.76153846153846</v>
      </c>
      <c r="R325" s="3">
        <v>192.4</v>
      </c>
      <c r="S325">
        <v>168.5</v>
      </c>
      <c r="T325">
        <v>158.69999999999999</v>
      </c>
      <c r="U325">
        <v>167</v>
      </c>
      <c r="V325" s="3">
        <f t="shared" si="19"/>
        <v>164.73333333333332</v>
      </c>
      <c r="W325">
        <v>163.4</v>
      </c>
      <c r="X325" s="3">
        <f t="shared" si="20"/>
        <v>163.4</v>
      </c>
      <c r="Y325" s="3">
        <v>170.6</v>
      </c>
      <c r="Z325">
        <v>164.1</v>
      </c>
      <c r="AA325">
        <v>160.19999999999999</v>
      </c>
      <c r="AB325">
        <v>155.69999999999999</v>
      </c>
      <c r="AC325">
        <v>160.6</v>
      </c>
      <c r="AD325">
        <v>162.6</v>
      </c>
      <c r="AE325" s="3">
        <f t="shared" si="21"/>
        <v>160.63999999999999</v>
      </c>
      <c r="AF325" s="3">
        <v>164.4</v>
      </c>
      <c r="AG325" s="3">
        <v>162</v>
      </c>
      <c r="AH325">
        <v>166.2</v>
      </c>
    </row>
    <row r="326" spans="1:34" x14ac:dyDescent="0.3">
      <c r="A326" t="s">
        <v>30</v>
      </c>
      <c r="B326">
        <v>2022</v>
      </c>
      <c r="C326" t="s">
        <v>31</v>
      </c>
      <c r="D326">
        <v>148.30000000000001</v>
      </c>
      <c r="E326">
        <v>196.9</v>
      </c>
      <c r="F326">
        <v>178</v>
      </c>
      <c r="G326">
        <v>160.5</v>
      </c>
      <c r="H326">
        <v>192.6</v>
      </c>
      <c r="I326">
        <v>151.19999999999999</v>
      </c>
      <c r="J326">
        <v>159.19999999999999</v>
      </c>
      <c r="K326">
        <v>164</v>
      </c>
      <c r="L326">
        <v>119.3</v>
      </c>
      <c r="M326">
        <v>173.3</v>
      </c>
      <c r="N326">
        <v>169.8</v>
      </c>
      <c r="O326">
        <v>175.8</v>
      </c>
      <c r="P326">
        <v>164.1</v>
      </c>
      <c r="Q326" s="3">
        <f t="shared" ref="Q326:Q376" si="52">AVERAGE(D326:P326)</f>
        <v>165.61538461538461</v>
      </c>
      <c r="R326" s="3">
        <v>190.7</v>
      </c>
      <c r="S326">
        <v>173.2</v>
      </c>
      <c r="T326">
        <v>169.3</v>
      </c>
      <c r="U326">
        <v>172.7</v>
      </c>
      <c r="V326" s="3">
        <f t="shared" ref="V326:V376" si="53">AVERAGE(S326:U326)</f>
        <v>171.73333333333335</v>
      </c>
      <c r="W326" t="s">
        <v>32</v>
      </c>
      <c r="X326" s="3">
        <f t="shared" ref="X326:X376" si="54">IF(W326="NA",W327,W326)</f>
        <v>164.5</v>
      </c>
      <c r="Y326" s="3">
        <v>174.7</v>
      </c>
      <c r="Z326">
        <v>165.8</v>
      </c>
      <c r="AA326">
        <v>164.9</v>
      </c>
      <c r="AB326">
        <v>160.80000000000001</v>
      </c>
      <c r="AC326">
        <v>164.9</v>
      </c>
      <c r="AD326">
        <v>163.19999999999999</v>
      </c>
      <c r="AE326" s="3">
        <f t="shared" ref="AE326:AE376" si="55">AVERAGE(Z326:AD326)</f>
        <v>163.92000000000002</v>
      </c>
      <c r="AF326" s="3">
        <v>169.9</v>
      </c>
      <c r="AG326" s="3">
        <v>166.6</v>
      </c>
      <c r="AH326">
        <v>166.4</v>
      </c>
    </row>
    <row r="327" spans="1:34" x14ac:dyDescent="0.3">
      <c r="A327" t="s">
        <v>33</v>
      </c>
      <c r="B327">
        <v>2022</v>
      </c>
      <c r="C327" t="s">
        <v>31</v>
      </c>
      <c r="D327">
        <v>152.19999999999999</v>
      </c>
      <c r="E327">
        <v>202.1</v>
      </c>
      <c r="F327">
        <v>180.1</v>
      </c>
      <c r="G327">
        <v>160.4</v>
      </c>
      <c r="H327">
        <v>171</v>
      </c>
      <c r="I327">
        <v>156.5</v>
      </c>
      <c r="J327">
        <v>203.6</v>
      </c>
      <c r="K327">
        <v>163.80000000000001</v>
      </c>
      <c r="L327">
        <v>121.3</v>
      </c>
      <c r="M327">
        <v>169.8</v>
      </c>
      <c r="N327">
        <v>156.6</v>
      </c>
      <c r="O327">
        <v>179</v>
      </c>
      <c r="P327">
        <v>170.3</v>
      </c>
      <c r="Q327" s="3">
        <f t="shared" si="52"/>
        <v>168.2076923076923</v>
      </c>
      <c r="R327" s="3">
        <v>196.4</v>
      </c>
      <c r="S327">
        <v>164.7</v>
      </c>
      <c r="T327">
        <v>148.5</v>
      </c>
      <c r="U327">
        <v>162.19999999999999</v>
      </c>
      <c r="V327" s="3">
        <f t="shared" si="53"/>
        <v>158.46666666666667</v>
      </c>
      <c r="W327">
        <v>164.5</v>
      </c>
      <c r="X327" s="3">
        <f t="shared" si="54"/>
        <v>164.5</v>
      </c>
      <c r="Y327" s="3">
        <v>166.1</v>
      </c>
      <c r="Z327">
        <v>161.6</v>
      </c>
      <c r="AA327">
        <v>156.80000000000001</v>
      </c>
      <c r="AB327">
        <v>152.69999999999999</v>
      </c>
      <c r="AC327">
        <v>158.4</v>
      </c>
      <c r="AD327">
        <v>162.80000000000001</v>
      </c>
      <c r="AE327" s="3">
        <f t="shared" si="55"/>
        <v>158.45999999999998</v>
      </c>
      <c r="AF327" s="3">
        <v>161</v>
      </c>
      <c r="AG327" s="3">
        <v>158.6</v>
      </c>
      <c r="AH327">
        <v>165</v>
      </c>
    </row>
    <row r="328" spans="1:34" x14ac:dyDescent="0.3">
      <c r="A328" t="s">
        <v>34</v>
      </c>
      <c r="B328">
        <v>2022</v>
      </c>
      <c r="C328" t="s">
        <v>31</v>
      </c>
      <c r="D328">
        <v>149.5</v>
      </c>
      <c r="E328">
        <v>198.7</v>
      </c>
      <c r="F328">
        <v>178.8</v>
      </c>
      <c r="G328">
        <v>160.5</v>
      </c>
      <c r="H328">
        <v>184.7</v>
      </c>
      <c r="I328">
        <v>153.69999999999999</v>
      </c>
      <c r="J328">
        <v>174.3</v>
      </c>
      <c r="K328">
        <v>163.9</v>
      </c>
      <c r="L328">
        <v>120</v>
      </c>
      <c r="M328">
        <v>172.1</v>
      </c>
      <c r="N328">
        <v>164.3</v>
      </c>
      <c r="O328">
        <v>177.3</v>
      </c>
      <c r="P328">
        <v>166.4</v>
      </c>
      <c r="Q328" s="3">
        <f t="shared" si="52"/>
        <v>166.47692307692307</v>
      </c>
      <c r="R328" s="3">
        <v>192.2</v>
      </c>
      <c r="S328">
        <v>169.9</v>
      </c>
      <c r="T328">
        <v>160.69999999999999</v>
      </c>
      <c r="U328">
        <v>168.5</v>
      </c>
      <c r="V328" s="3">
        <f t="shared" si="53"/>
        <v>166.36666666666667</v>
      </c>
      <c r="W328">
        <v>164.5</v>
      </c>
      <c r="X328" s="3">
        <f t="shared" si="54"/>
        <v>164.5</v>
      </c>
      <c r="Y328" s="3">
        <v>171.4</v>
      </c>
      <c r="Z328">
        <v>164.2</v>
      </c>
      <c r="AA328">
        <v>161.1</v>
      </c>
      <c r="AB328">
        <v>156.5</v>
      </c>
      <c r="AC328">
        <v>161.19999999999999</v>
      </c>
      <c r="AD328">
        <v>163</v>
      </c>
      <c r="AE328" s="3">
        <f t="shared" si="55"/>
        <v>161.19999999999999</v>
      </c>
      <c r="AF328" s="3">
        <v>164.7</v>
      </c>
      <c r="AG328" s="3">
        <v>162.69999999999999</v>
      </c>
      <c r="AH328">
        <v>165.7</v>
      </c>
    </row>
    <row r="329" spans="1:34" x14ac:dyDescent="0.3">
      <c r="A329" t="s">
        <v>30</v>
      </c>
      <c r="B329">
        <v>2022</v>
      </c>
      <c r="C329" t="s">
        <v>35</v>
      </c>
      <c r="D329">
        <v>148.80000000000001</v>
      </c>
      <c r="E329">
        <v>198.1</v>
      </c>
      <c r="F329">
        <v>175.5</v>
      </c>
      <c r="G329">
        <v>160.69999999999999</v>
      </c>
      <c r="H329">
        <v>192.6</v>
      </c>
      <c r="I329">
        <v>151.4</v>
      </c>
      <c r="J329">
        <v>155.19999999999999</v>
      </c>
      <c r="K329">
        <v>163.9</v>
      </c>
      <c r="L329">
        <v>118.1</v>
      </c>
      <c r="M329">
        <v>175.4</v>
      </c>
      <c r="N329">
        <v>170.5</v>
      </c>
      <c r="O329">
        <v>176.3</v>
      </c>
      <c r="P329">
        <v>163.9</v>
      </c>
      <c r="Q329" s="3">
        <f t="shared" si="52"/>
        <v>165.41538461538462</v>
      </c>
      <c r="R329" s="3">
        <v>191.5</v>
      </c>
      <c r="S329">
        <v>174.1</v>
      </c>
      <c r="T329">
        <v>171</v>
      </c>
      <c r="U329">
        <v>173.7</v>
      </c>
      <c r="V329" s="3">
        <f t="shared" si="53"/>
        <v>172.93333333333331</v>
      </c>
      <c r="W329" t="s">
        <v>32</v>
      </c>
      <c r="X329" s="3">
        <f t="shared" si="54"/>
        <v>165.5</v>
      </c>
      <c r="Y329" s="3">
        <v>175.3</v>
      </c>
      <c r="Z329">
        <v>167.4</v>
      </c>
      <c r="AA329">
        <v>165.7</v>
      </c>
      <c r="AB329">
        <v>161.19999999999999</v>
      </c>
      <c r="AC329">
        <v>165.5</v>
      </c>
      <c r="AD329">
        <v>164.5</v>
      </c>
      <c r="AE329" s="3">
        <f t="shared" si="55"/>
        <v>164.85999999999999</v>
      </c>
      <c r="AF329" s="3">
        <v>170.3</v>
      </c>
      <c r="AG329" s="3">
        <v>167.3</v>
      </c>
      <c r="AH329">
        <v>166.7</v>
      </c>
    </row>
    <row r="330" spans="1:34" x14ac:dyDescent="0.3">
      <c r="A330" t="s">
        <v>33</v>
      </c>
      <c r="B330">
        <v>2022</v>
      </c>
      <c r="C330" t="s">
        <v>35</v>
      </c>
      <c r="D330">
        <v>152.5</v>
      </c>
      <c r="E330">
        <v>205.2</v>
      </c>
      <c r="F330">
        <v>176.4</v>
      </c>
      <c r="G330">
        <v>160.6</v>
      </c>
      <c r="H330">
        <v>171.5</v>
      </c>
      <c r="I330">
        <v>156.4</v>
      </c>
      <c r="J330">
        <v>198</v>
      </c>
      <c r="K330">
        <v>163.19999999999999</v>
      </c>
      <c r="L330">
        <v>120.6</v>
      </c>
      <c r="M330">
        <v>172.2</v>
      </c>
      <c r="N330">
        <v>156.69999999999999</v>
      </c>
      <c r="O330">
        <v>180</v>
      </c>
      <c r="P330">
        <v>170.2</v>
      </c>
      <c r="Q330" s="3">
        <f t="shared" si="52"/>
        <v>167.96153846153845</v>
      </c>
      <c r="R330" s="3">
        <v>196.5</v>
      </c>
      <c r="S330">
        <v>165.7</v>
      </c>
      <c r="T330">
        <v>150.4</v>
      </c>
      <c r="U330">
        <v>163.4</v>
      </c>
      <c r="V330" s="3">
        <f t="shared" si="53"/>
        <v>159.83333333333334</v>
      </c>
      <c r="W330">
        <v>165.5</v>
      </c>
      <c r="X330" s="3">
        <f t="shared" si="54"/>
        <v>165.5</v>
      </c>
      <c r="Y330" s="3">
        <v>167.2</v>
      </c>
      <c r="Z330">
        <v>163</v>
      </c>
      <c r="AA330">
        <v>157.4</v>
      </c>
      <c r="AB330">
        <v>153.1</v>
      </c>
      <c r="AC330">
        <v>159.5</v>
      </c>
      <c r="AD330">
        <v>164.2</v>
      </c>
      <c r="AE330" s="3">
        <f t="shared" si="55"/>
        <v>159.44</v>
      </c>
      <c r="AF330" s="3">
        <v>162</v>
      </c>
      <c r="AG330" s="3">
        <v>159.4</v>
      </c>
      <c r="AH330">
        <v>165.5</v>
      </c>
    </row>
    <row r="331" spans="1:34" x14ac:dyDescent="0.3">
      <c r="A331" t="s">
        <v>34</v>
      </c>
      <c r="B331">
        <v>2022</v>
      </c>
      <c r="C331" t="s">
        <v>35</v>
      </c>
      <c r="D331">
        <v>150</v>
      </c>
      <c r="E331">
        <v>200.6</v>
      </c>
      <c r="F331">
        <v>175.8</v>
      </c>
      <c r="G331">
        <v>160.69999999999999</v>
      </c>
      <c r="H331">
        <v>184.9</v>
      </c>
      <c r="I331">
        <v>153.69999999999999</v>
      </c>
      <c r="J331">
        <v>169.7</v>
      </c>
      <c r="K331">
        <v>163.69999999999999</v>
      </c>
      <c r="L331">
        <v>118.9</v>
      </c>
      <c r="M331">
        <v>174.3</v>
      </c>
      <c r="N331">
        <v>164.7</v>
      </c>
      <c r="O331">
        <v>178</v>
      </c>
      <c r="P331">
        <v>166.2</v>
      </c>
      <c r="Q331" s="3">
        <f t="shared" si="52"/>
        <v>166.24615384615387</v>
      </c>
      <c r="R331" s="3">
        <v>192.8</v>
      </c>
      <c r="S331">
        <v>170.8</v>
      </c>
      <c r="T331">
        <v>162.4</v>
      </c>
      <c r="U331">
        <v>169.6</v>
      </c>
      <c r="V331" s="3">
        <f t="shared" si="53"/>
        <v>167.60000000000002</v>
      </c>
      <c r="W331">
        <v>165.5</v>
      </c>
      <c r="X331" s="3">
        <f t="shared" si="54"/>
        <v>165.5</v>
      </c>
      <c r="Y331" s="3">
        <v>172.2</v>
      </c>
      <c r="Z331">
        <v>165.7</v>
      </c>
      <c r="AA331">
        <v>161.80000000000001</v>
      </c>
      <c r="AB331">
        <v>156.9</v>
      </c>
      <c r="AC331">
        <v>162.1</v>
      </c>
      <c r="AD331">
        <v>164.4</v>
      </c>
      <c r="AE331" s="3">
        <f t="shared" si="55"/>
        <v>162.18</v>
      </c>
      <c r="AF331" s="3">
        <v>165.4</v>
      </c>
      <c r="AG331" s="3">
        <v>163.5</v>
      </c>
      <c r="AH331">
        <v>166.1</v>
      </c>
    </row>
    <row r="332" spans="1:34" x14ac:dyDescent="0.3">
      <c r="A332" t="s">
        <v>30</v>
      </c>
      <c r="B332">
        <v>2022</v>
      </c>
      <c r="C332" t="s">
        <v>36</v>
      </c>
      <c r="D332">
        <v>150.19999999999999</v>
      </c>
      <c r="E332">
        <v>208</v>
      </c>
      <c r="F332">
        <v>167.9</v>
      </c>
      <c r="G332">
        <v>162</v>
      </c>
      <c r="H332">
        <v>203.1</v>
      </c>
      <c r="I332">
        <v>155.9</v>
      </c>
      <c r="J332">
        <v>155.80000000000001</v>
      </c>
      <c r="K332">
        <v>164.2</v>
      </c>
      <c r="L332">
        <v>118.1</v>
      </c>
      <c r="M332">
        <v>178.7</v>
      </c>
      <c r="N332">
        <v>171.2</v>
      </c>
      <c r="O332">
        <v>177.4</v>
      </c>
      <c r="P332">
        <v>166.6</v>
      </c>
      <c r="Q332" s="3">
        <f t="shared" si="52"/>
        <v>167.62307692307695</v>
      </c>
      <c r="R332" s="3">
        <v>192.3</v>
      </c>
      <c r="S332">
        <v>175.4</v>
      </c>
      <c r="T332">
        <v>173.2</v>
      </c>
      <c r="U332">
        <v>175.1</v>
      </c>
      <c r="V332" s="3">
        <f t="shared" si="53"/>
        <v>174.56666666666669</v>
      </c>
      <c r="W332" t="s">
        <v>32</v>
      </c>
      <c r="X332" s="3">
        <f t="shared" si="54"/>
        <v>165.3</v>
      </c>
      <c r="Y332" s="3">
        <v>176</v>
      </c>
      <c r="Z332">
        <v>168.9</v>
      </c>
      <c r="AA332">
        <v>166.5</v>
      </c>
      <c r="AB332">
        <v>162</v>
      </c>
      <c r="AC332">
        <v>166.6</v>
      </c>
      <c r="AD332">
        <v>167.4</v>
      </c>
      <c r="AE332" s="3">
        <f t="shared" si="55"/>
        <v>166.28</v>
      </c>
      <c r="AF332" s="3">
        <v>170.6</v>
      </c>
      <c r="AG332" s="3">
        <v>168.3</v>
      </c>
      <c r="AH332">
        <v>168.7</v>
      </c>
    </row>
    <row r="333" spans="1:34" x14ac:dyDescent="0.3">
      <c r="A333" t="s">
        <v>33</v>
      </c>
      <c r="B333">
        <v>2022</v>
      </c>
      <c r="C333" t="s">
        <v>36</v>
      </c>
      <c r="D333">
        <v>153.69999999999999</v>
      </c>
      <c r="E333">
        <v>215.8</v>
      </c>
      <c r="F333">
        <v>167.7</v>
      </c>
      <c r="G333">
        <v>162.6</v>
      </c>
      <c r="H333">
        <v>180</v>
      </c>
      <c r="I333">
        <v>159.6</v>
      </c>
      <c r="J333">
        <v>188.4</v>
      </c>
      <c r="K333">
        <v>163.4</v>
      </c>
      <c r="L333">
        <v>120.3</v>
      </c>
      <c r="M333">
        <v>174.7</v>
      </c>
      <c r="N333">
        <v>157.1</v>
      </c>
      <c r="O333">
        <v>181.5</v>
      </c>
      <c r="P333">
        <v>171.5</v>
      </c>
      <c r="Q333" s="3">
        <f t="shared" si="52"/>
        <v>168.94615384615386</v>
      </c>
      <c r="R333" s="3">
        <v>197.5</v>
      </c>
      <c r="S333">
        <v>167.1</v>
      </c>
      <c r="T333">
        <v>152.6</v>
      </c>
      <c r="U333">
        <v>164.9</v>
      </c>
      <c r="V333" s="3">
        <f t="shared" si="53"/>
        <v>161.53333333333333</v>
      </c>
      <c r="W333">
        <v>165.3</v>
      </c>
      <c r="X333" s="3">
        <f t="shared" si="54"/>
        <v>165.3</v>
      </c>
      <c r="Y333" s="3">
        <v>168.2</v>
      </c>
      <c r="Z333">
        <v>164.5</v>
      </c>
      <c r="AA333">
        <v>158.6</v>
      </c>
      <c r="AB333">
        <v>154.19999999999999</v>
      </c>
      <c r="AC333">
        <v>160.80000000000001</v>
      </c>
      <c r="AD333">
        <v>166.8</v>
      </c>
      <c r="AE333" s="3">
        <f t="shared" si="55"/>
        <v>160.98000000000002</v>
      </c>
      <c r="AF333" s="3">
        <v>162.69999999999999</v>
      </c>
      <c r="AG333" s="3">
        <v>160.6</v>
      </c>
      <c r="AH333">
        <v>166.5</v>
      </c>
    </row>
    <row r="334" spans="1:34" x14ac:dyDescent="0.3">
      <c r="A334" t="s">
        <v>34</v>
      </c>
      <c r="B334">
        <v>2022</v>
      </c>
      <c r="C334" t="s">
        <v>36</v>
      </c>
      <c r="D334">
        <v>151.30000000000001</v>
      </c>
      <c r="E334">
        <v>210.7</v>
      </c>
      <c r="F334">
        <v>167.8</v>
      </c>
      <c r="G334">
        <v>162.19999999999999</v>
      </c>
      <c r="H334">
        <v>194.6</v>
      </c>
      <c r="I334">
        <v>157.6</v>
      </c>
      <c r="J334">
        <v>166.9</v>
      </c>
      <c r="K334">
        <v>163.9</v>
      </c>
      <c r="L334">
        <v>118.8</v>
      </c>
      <c r="M334">
        <v>177.4</v>
      </c>
      <c r="N334">
        <v>165.3</v>
      </c>
      <c r="O334">
        <v>179.3</v>
      </c>
      <c r="P334">
        <v>168.4</v>
      </c>
      <c r="Q334" s="3">
        <f t="shared" si="52"/>
        <v>168.01538461538465</v>
      </c>
      <c r="R334" s="3">
        <v>193.7</v>
      </c>
      <c r="S334">
        <v>172.1</v>
      </c>
      <c r="T334">
        <v>164.6</v>
      </c>
      <c r="U334">
        <v>171.1</v>
      </c>
      <c r="V334" s="3">
        <f t="shared" si="53"/>
        <v>169.26666666666665</v>
      </c>
      <c r="W334">
        <v>165.3</v>
      </c>
      <c r="X334" s="3">
        <f t="shared" si="54"/>
        <v>165.3</v>
      </c>
      <c r="Y334" s="3">
        <v>173</v>
      </c>
      <c r="Z334">
        <v>167.2</v>
      </c>
      <c r="AA334">
        <v>162.80000000000001</v>
      </c>
      <c r="AB334">
        <v>157.9</v>
      </c>
      <c r="AC334">
        <v>163.30000000000001</v>
      </c>
      <c r="AD334">
        <v>167.2</v>
      </c>
      <c r="AE334" s="3">
        <f t="shared" si="55"/>
        <v>163.68</v>
      </c>
      <c r="AF334" s="3">
        <v>166</v>
      </c>
      <c r="AG334" s="3">
        <v>164.6</v>
      </c>
      <c r="AH334">
        <v>167.7</v>
      </c>
    </row>
    <row r="335" spans="1:34" x14ac:dyDescent="0.3">
      <c r="A335" t="s">
        <v>30</v>
      </c>
      <c r="B335">
        <v>2022</v>
      </c>
      <c r="C335" t="s">
        <v>37</v>
      </c>
      <c r="D335">
        <v>151.80000000000001</v>
      </c>
      <c r="E335">
        <v>209.7</v>
      </c>
      <c r="F335">
        <v>164.5</v>
      </c>
      <c r="G335">
        <v>163.80000000000001</v>
      </c>
      <c r="H335">
        <v>207.4</v>
      </c>
      <c r="I335">
        <v>169.7</v>
      </c>
      <c r="J335">
        <v>153.6</v>
      </c>
      <c r="K335">
        <v>165.1</v>
      </c>
      <c r="L335">
        <v>118.2</v>
      </c>
      <c r="M335">
        <v>182.9</v>
      </c>
      <c r="N335">
        <v>172.4</v>
      </c>
      <c r="O335">
        <v>178.9</v>
      </c>
      <c r="P335">
        <v>168.6</v>
      </c>
      <c r="Q335" s="3">
        <f t="shared" si="52"/>
        <v>169.73846153846154</v>
      </c>
      <c r="R335" s="3">
        <v>192.8</v>
      </c>
      <c r="S335">
        <v>177.5</v>
      </c>
      <c r="T335">
        <v>175.1</v>
      </c>
      <c r="U335">
        <v>177.1</v>
      </c>
      <c r="V335" s="3">
        <f t="shared" si="53"/>
        <v>176.56666666666669</v>
      </c>
      <c r="W335" t="s">
        <v>32</v>
      </c>
      <c r="X335" s="3">
        <f t="shared" si="54"/>
        <v>167</v>
      </c>
      <c r="Y335" s="3">
        <v>177</v>
      </c>
      <c r="Z335">
        <v>173.3</v>
      </c>
      <c r="AA335">
        <v>167.7</v>
      </c>
      <c r="AB335">
        <v>166.2</v>
      </c>
      <c r="AC335">
        <v>167.2</v>
      </c>
      <c r="AD335">
        <v>169</v>
      </c>
      <c r="AE335" s="3">
        <f t="shared" si="55"/>
        <v>168.68</v>
      </c>
      <c r="AF335" s="3">
        <v>170.9</v>
      </c>
      <c r="AG335" s="3">
        <v>170.2</v>
      </c>
      <c r="AH335">
        <v>170.8</v>
      </c>
    </row>
    <row r="336" spans="1:34" x14ac:dyDescent="0.3">
      <c r="A336" t="s">
        <v>33</v>
      </c>
      <c r="B336">
        <v>2022</v>
      </c>
      <c r="C336" t="s">
        <v>37</v>
      </c>
      <c r="D336">
        <v>155.4</v>
      </c>
      <c r="E336">
        <v>215.8</v>
      </c>
      <c r="F336">
        <v>164.6</v>
      </c>
      <c r="G336">
        <v>164.2</v>
      </c>
      <c r="H336">
        <v>186</v>
      </c>
      <c r="I336">
        <v>175.9</v>
      </c>
      <c r="J336">
        <v>190.7</v>
      </c>
      <c r="K336">
        <v>164</v>
      </c>
      <c r="L336">
        <v>120.5</v>
      </c>
      <c r="M336">
        <v>178</v>
      </c>
      <c r="N336">
        <v>157.5</v>
      </c>
      <c r="O336">
        <v>183.3</v>
      </c>
      <c r="P336">
        <v>174.5</v>
      </c>
      <c r="Q336" s="3">
        <f t="shared" si="52"/>
        <v>171.56923076923078</v>
      </c>
      <c r="R336" s="3">
        <v>197.1</v>
      </c>
      <c r="S336">
        <v>168.4</v>
      </c>
      <c r="T336">
        <v>154.5</v>
      </c>
      <c r="U336">
        <v>166.3</v>
      </c>
      <c r="V336" s="3">
        <f t="shared" si="53"/>
        <v>163.06666666666666</v>
      </c>
      <c r="W336">
        <v>167</v>
      </c>
      <c r="X336" s="3">
        <f t="shared" si="54"/>
        <v>167</v>
      </c>
      <c r="Y336" s="3">
        <v>169</v>
      </c>
      <c r="Z336">
        <v>170.5</v>
      </c>
      <c r="AA336">
        <v>159.80000000000001</v>
      </c>
      <c r="AB336">
        <v>159.30000000000001</v>
      </c>
      <c r="AC336">
        <v>162.19999999999999</v>
      </c>
      <c r="AD336">
        <v>168.4</v>
      </c>
      <c r="AE336" s="3">
        <f t="shared" si="55"/>
        <v>164.04</v>
      </c>
      <c r="AF336" s="3">
        <v>164</v>
      </c>
      <c r="AG336" s="3">
        <v>163.1</v>
      </c>
      <c r="AH336">
        <v>169.2</v>
      </c>
    </row>
    <row r="337" spans="1:34" x14ac:dyDescent="0.3">
      <c r="A337" t="s">
        <v>34</v>
      </c>
      <c r="B337">
        <v>2022</v>
      </c>
      <c r="C337" t="s">
        <v>37</v>
      </c>
      <c r="D337">
        <v>152.9</v>
      </c>
      <c r="E337">
        <v>211.8</v>
      </c>
      <c r="F337">
        <v>164.5</v>
      </c>
      <c r="G337">
        <v>163.9</v>
      </c>
      <c r="H337">
        <v>199.5</v>
      </c>
      <c r="I337">
        <v>172.6</v>
      </c>
      <c r="J337">
        <v>166.2</v>
      </c>
      <c r="K337">
        <v>164.7</v>
      </c>
      <c r="L337">
        <v>119</v>
      </c>
      <c r="M337">
        <v>181.3</v>
      </c>
      <c r="N337">
        <v>166.2</v>
      </c>
      <c r="O337">
        <v>180.9</v>
      </c>
      <c r="P337">
        <v>170.8</v>
      </c>
      <c r="Q337" s="3">
        <f t="shared" si="52"/>
        <v>170.33076923076925</v>
      </c>
      <c r="R337" s="3">
        <v>193.9</v>
      </c>
      <c r="S337">
        <v>173.9</v>
      </c>
      <c r="T337">
        <v>166.5</v>
      </c>
      <c r="U337">
        <v>172.8</v>
      </c>
      <c r="V337" s="3">
        <f t="shared" si="53"/>
        <v>171.06666666666669</v>
      </c>
      <c r="W337">
        <v>167</v>
      </c>
      <c r="X337" s="3">
        <f t="shared" si="54"/>
        <v>167</v>
      </c>
      <c r="Y337" s="3">
        <v>174</v>
      </c>
      <c r="Z337">
        <v>172.2</v>
      </c>
      <c r="AA337">
        <v>164</v>
      </c>
      <c r="AB337">
        <v>162.6</v>
      </c>
      <c r="AC337">
        <v>164.4</v>
      </c>
      <c r="AD337">
        <v>168.8</v>
      </c>
      <c r="AE337" s="3">
        <f t="shared" si="55"/>
        <v>166.4</v>
      </c>
      <c r="AF337" s="3">
        <v>166.9</v>
      </c>
      <c r="AG337" s="3">
        <v>166.8</v>
      </c>
      <c r="AH337">
        <v>170.1</v>
      </c>
    </row>
    <row r="338" spans="1:34" x14ac:dyDescent="0.3">
      <c r="A338" t="s">
        <v>30</v>
      </c>
      <c r="B338">
        <v>2022</v>
      </c>
      <c r="C338" t="s">
        <v>38</v>
      </c>
      <c r="D338">
        <v>152.9</v>
      </c>
      <c r="E338">
        <v>214.7</v>
      </c>
      <c r="F338">
        <v>161.4</v>
      </c>
      <c r="G338">
        <v>164.6</v>
      </c>
      <c r="H338">
        <v>209.9</v>
      </c>
      <c r="I338">
        <v>168</v>
      </c>
      <c r="J338">
        <v>160.4</v>
      </c>
      <c r="K338">
        <v>165</v>
      </c>
      <c r="L338">
        <v>118.9</v>
      </c>
      <c r="M338">
        <v>186.6</v>
      </c>
      <c r="N338">
        <v>173.2</v>
      </c>
      <c r="O338">
        <v>180.4</v>
      </c>
      <c r="P338">
        <v>170.8</v>
      </c>
      <c r="Q338" s="3">
        <f t="shared" si="52"/>
        <v>171.2923076923077</v>
      </c>
      <c r="R338" s="3">
        <v>192.9</v>
      </c>
      <c r="S338">
        <v>179.3</v>
      </c>
      <c r="T338">
        <v>177.2</v>
      </c>
      <c r="U338">
        <v>179</v>
      </c>
      <c r="V338" s="3">
        <f t="shared" si="53"/>
        <v>178.5</v>
      </c>
      <c r="W338" t="s">
        <v>32</v>
      </c>
      <c r="X338" s="3">
        <f t="shared" si="54"/>
        <v>167.5</v>
      </c>
      <c r="Y338" s="3">
        <v>177.7</v>
      </c>
      <c r="Z338">
        <v>175.3</v>
      </c>
      <c r="AA338">
        <v>168.9</v>
      </c>
      <c r="AB338">
        <v>167.1</v>
      </c>
      <c r="AC338">
        <v>167.6</v>
      </c>
      <c r="AD338">
        <v>168.5</v>
      </c>
      <c r="AE338" s="3">
        <f t="shared" si="55"/>
        <v>169.48000000000002</v>
      </c>
      <c r="AF338" s="3">
        <v>171.8</v>
      </c>
      <c r="AG338" s="3">
        <v>170.9</v>
      </c>
      <c r="AH338">
        <v>172.5</v>
      </c>
    </row>
    <row r="339" spans="1:34" x14ac:dyDescent="0.3">
      <c r="A339" t="s">
        <v>33</v>
      </c>
      <c r="B339">
        <v>2022</v>
      </c>
      <c r="C339" t="s">
        <v>38</v>
      </c>
      <c r="D339">
        <v>156.69999999999999</v>
      </c>
      <c r="E339">
        <v>221.2</v>
      </c>
      <c r="F339">
        <v>164.1</v>
      </c>
      <c r="G339">
        <v>165.4</v>
      </c>
      <c r="H339">
        <v>189.5</v>
      </c>
      <c r="I339">
        <v>174.5</v>
      </c>
      <c r="J339">
        <v>203.2</v>
      </c>
      <c r="K339">
        <v>164.1</v>
      </c>
      <c r="L339">
        <v>121.2</v>
      </c>
      <c r="M339">
        <v>181.4</v>
      </c>
      <c r="N339">
        <v>158.5</v>
      </c>
      <c r="O339">
        <v>184.9</v>
      </c>
      <c r="P339">
        <v>177.5</v>
      </c>
      <c r="Q339" s="3">
        <f t="shared" si="52"/>
        <v>174.01538461538465</v>
      </c>
      <c r="R339" s="3">
        <v>197.5</v>
      </c>
      <c r="S339">
        <v>170</v>
      </c>
      <c r="T339">
        <v>155.9</v>
      </c>
      <c r="U339">
        <v>167.8</v>
      </c>
      <c r="V339" s="3">
        <f t="shared" si="53"/>
        <v>164.56666666666666</v>
      </c>
      <c r="W339">
        <v>167.5</v>
      </c>
      <c r="X339" s="3">
        <f t="shared" si="54"/>
        <v>167.5</v>
      </c>
      <c r="Y339" s="3">
        <v>170.1</v>
      </c>
      <c r="Z339">
        <v>173.5</v>
      </c>
      <c r="AA339">
        <v>161.1</v>
      </c>
      <c r="AB339">
        <v>159.4</v>
      </c>
      <c r="AC339">
        <v>163.19999999999999</v>
      </c>
      <c r="AD339">
        <v>168.2</v>
      </c>
      <c r="AE339" s="3">
        <f t="shared" si="55"/>
        <v>165.08</v>
      </c>
      <c r="AF339" s="3">
        <v>165.2</v>
      </c>
      <c r="AG339" s="3">
        <v>163.80000000000001</v>
      </c>
      <c r="AH339">
        <v>170.8</v>
      </c>
    </row>
    <row r="340" spans="1:34" x14ac:dyDescent="0.3">
      <c r="A340" t="s">
        <v>34</v>
      </c>
      <c r="B340">
        <v>2022</v>
      </c>
      <c r="C340" t="s">
        <v>38</v>
      </c>
      <c r="D340">
        <v>154.1</v>
      </c>
      <c r="E340">
        <v>217</v>
      </c>
      <c r="F340">
        <v>162.4</v>
      </c>
      <c r="G340">
        <v>164.9</v>
      </c>
      <c r="H340">
        <v>202.4</v>
      </c>
      <c r="I340">
        <v>171</v>
      </c>
      <c r="J340">
        <v>174.9</v>
      </c>
      <c r="K340">
        <v>164.7</v>
      </c>
      <c r="L340">
        <v>119.7</v>
      </c>
      <c r="M340">
        <v>184.9</v>
      </c>
      <c r="N340">
        <v>167.1</v>
      </c>
      <c r="O340">
        <v>182.5</v>
      </c>
      <c r="P340">
        <v>173.3</v>
      </c>
      <c r="Q340" s="3">
        <f t="shared" si="52"/>
        <v>172.22307692307697</v>
      </c>
      <c r="R340" s="3">
        <v>194.1</v>
      </c>
      <c r="S340">
        <v>175.6</v>
      </c>
      <c r="T340">
        <v>168.4</v>
      </c>
      <c r="U340">
        <v>174.6</v>
      </c>
      <c r="V340" s="3">
        <f t="shared" si="53"/>
        <v>172.86666666666667</v>
      </c>
      <c r="W340">
        <v>167.5</v>
      </c>
      <c r="X340" s="3">
        <f t="shared" si="54"/>
        <v>167.5</v>
      </c>
      <c r="Y340" s="3">
        <v>174.8</v>
      </c>
      <c r="Z340">
        <v>174.6</v>
      </c>
      <c r="AA340">
        <v>165.2</v>
      </c>
      <c r="AB340">
        <v>163</v>
      </c>
      <c r="AC340">
        <v>165.1</v>
      </c>
      <c r="AD340">
        <v>168.4</v>
      </c>
      <c r="AE340" s="3">
        <f t="shared" si="55"/>
        <v>167.26</v>
      </c>
      <c r="AF340" s="3">
        <v>167.9</v>
      </c>
      <c r="AG340" s="3">
        <v>167.5</v>
      </c>
      <c r="AH340">
        <v>171.7</v>
      </c>
    </row>
    <row r="341" spans="1:34" x14ac:dyDescent="0.3">
      <c r="A341" t="s">
        <v>30</v>
      </c>
      <c r="B341">
        <v>2022</v>
      </c>
      <c r="C341" t="s">
        <v>39</v>
      </c>
      <c r="D341">
        <v>153.80000000000001</v>
      </c>
      <c r="E341">
        <v>217.2</v>
      </c>
      <c r="F341">
        <v>169.6</v>
      </c>
      <c r="G341">
        <v>165.4</v>
      </c>
      <c r="H341">
        <v>208.1</v>
      </c>
      <c r="I341">
        <v>165.8</v>
      </c>
      <c r="J341">
        <v>167.3</v>
      </c>
      <c r="K341">
        <v>164.6</v>
      </c>
      <c r="L341">
        <v>119.1</v>
      </c>
      <c r="M341">
        <v>188.9</v>
      </c>
      <c r="N341">
        <v>174.2</v>
      </c>
      <c r="O341">
        <v>181.9</v>
      </c>
      <c r="P341">
        <v>172.4</v>
      </c>
      <c r="Q341" s="3">
        <f t="shared" si="52"/>
        <v>172.94615384615386</v>
      </c>
      <c r="R341" s="3">
        <v>192.9</v>
      </c>
      <c r="S341">
        <v>180.7</v>
      </c>
      <c r="T341">
        <v>178.7</v>
      </c>
      <c r="U341">
        <v>180.4</v>
      </c>
      <c r="V341" s="3">
        <f t="shared" si="53"/>
        <v>179.93333333333331</v>
      </c>
      <c r="W341" t="s">
        <v>32</v>
      </c>
      <c r="X341" s="3">
        <f t="shared" si="54"/>
        <v>166.8</v>
      </c>
      <c r="Y341" s="3">
        <v>178.2</v>
      </c>
      <c r="Z341">
        <v>176.7</v>
      </c>
      <c r="AA341">
        <v>170.3</v>
      </c>
      <c r="AB341">
        <v>165.5</v>
      </c>
      <c r="AC341">
        <v>168</v>
      </c>
      <c r="AD341">
        <v>169.5</v>
      </c>
      <c r="AE341" s="3">
        <f t="shared" si="55"/>
        <v>170</v>
      </c>
      <c r="AF341" s="3">
        <v>172.6</v>
      </c>
      <c r="AG341" s="3">
        <v>171</v>
      </c>
      <c r="AH341">
        <v>173.6</v>
      </c>
    </row>
    <row r="342" spans="1:34" x14ac:dyDescent="0.3">
      <c r="A342" t="s">
        <v>33</v>
      </c>
      <c r="B342">
        <v>2022</v>
      </c>
      <c r="C342" t="s">
        <v>39</v>
      </c>
      <c r="D342">
        <v>157.5</v>
      </c>
      <c r="E342">
        <v>223.4</v>
      </c>
      <c r="F342">
        <v>172.8</v>
      </c>
      <c r="G342">
        <v>166.4</v>
      </c>
      <c r="H342">
        <v>188.6</v>
      </c>
      <c r="I342">
        <v>174.1</v>
      </c>
      <c r="J342">
        <v>211.5</v>
      </c>
      <c r="K342">
        <v>163.6</v>
      </c>
      <c r="L342">
        <v>121.4</v>
      </c>
      <c r="M342">
        <v>183.5</v>
      </c>
      <c r="N342">
        <v>159.1</v>
      </c>
      <c r="O342">
        <v>186.3</v>
      </c>
      <c r="P342">
        <v>179.3</v>
      </c>
      <c r="Q342" s="3">
        <f t="shared" si="52"/>
        <v>175.96153846153845</v>
      </c>
      <c r="R342" s="3">
        <v>198.3</v>
      </c>
      <c r="S342">
        <v>171.6</v>
      </c>
      <c r="T342">
        <v>157.4</v>
      </c>
      <c r="U342">
        <v>169.4</v>
      </c>
      <c r="V342" s="3">
        <f t="shared" si="53"/>
        <v>166.13333333333333</v>
      </c>
      <c r="W342">
        <v>166.8</v>
      </c>
      <c r="X342" s="3">
        <f t="shared" si="54"/>
        <v>166.8</v>
      </c>
      <c r="Y342" s="3">
        <v>170.9</v>
      </c>
      <c r="Z342">
        <v>174.9</v>
      </c>
      <c r="AA342">
        <v>162.1</v>
      </c>
      <c r="AB342">
        <v>157.19999999999999</v>
      </c>
      <c r="AC342">
        <v>164.1</v>
      </c>
      <c r="AD342">
        <v>169.2</v>
      </c>
      <c r="AE342" s="3">
        <f t="shared" si="55"/>
        <v>165.5</v>
      </c>
      <c r="AF342" s="3">
        <v>166.5</v>
      </c>
      <c r="AG342" s="3">
        <v>163.80000000000001</v>
      </c>
      <c r="AH342">
        <v>171.4</v>
      </c>
    </row>
    <row r="343" spans="1:34" x14ac:dyDescent="0.3">
      <c r="A343" t="s">
        <v>34</v>
      </c>
      <c r="B343">
        <v>2022</v>
      </c>
      <c r="C343" t="s">
        <v>39</v>
      </c>
      <c r="D343">
        <v>155</v>
      </c>
      <c r="E343">
        <v>219.4</v>
      </c>
      <c r="F343">
        <v>170.8</v>
      </c>
      <c r="G343">
        <v>165.8</v>
      </c>
      <c r="H343">
        <v>200.9</v>
      </c>
      <c r="I343">
        <v>169.7</v>
      </c>
      <c r="J343">
        <v>182.3</v>
      </c>
      <c r="K343">
        <v>164.3</v>
      </c>
      <c r="L343">
        <v>119.9</v>
      </c>
      <c r="M343">
        <v>187.1</v>
      </c>
      <c r="N343">
        <v>167.9</v>
      </c>
      <c r="O343">
        <v>183.9</v>
      </c>
      <c r="P343">
        <v>174.9</v>
      </c>
      <c r="Q343" s="3">
        <f t="shared" si="52"/>
        <v>173.99230769230769</v>
      </c>
      <c r="R343" s="3">
        <v>194.3</v>
      </c>
      <c r="S343">
        <v>177.1</v>
      </c>
      <c r="T343">
        <v>169.9</v>
      </c>
      <c r="U343">
        <v>176</v>
      </c>
      <c r="V343" s="3">
        <f t="shared" si="53"/>
        <v>174.33333333333334</v>
      </c>
      <c r="W343">
        <v>166.8</v>
      </c>
      <c r="X343" s="3">
        <f t="shared" si="54"/>
        <v>166.8</v>
      </c>
      <c r="Y343" s="3">
        <v>175.4</v>
      </c>
      <c r="Z343">
        <v>176</v>
      </c>
      <c r="AA343">
        <v>166.4</v>
      </c>
      <c r="AB343">
        <v>161.1</v>
      </c>
      <c r="AC343">
        <v>165.8</v>
      </c>
      <c r="AD343">
        <v>169.4</v>
      </c>
      <c r="AE343" s="3">
        <f t="shared" si="55"/>
        <v>167.73999999999998</v>
      </c>
      <c r="AF343" s="3">
        <v>169</v>
      </c>
      <c r="AG343" s="3">
        <v>167.5</v>
      </c>
      <c r="AH343">
        <v>172.6</v>
      </c>
    </row>
    <row r="344" spans="1:34" x14ac:dyDescent="0.3">
      <c r="A344" t="s">
        <v>30</v>
      </c>
      <c r="B344">
        <v>2022</v>
      </c>
      <c r="C344" t="s">
        <v>40</v>
      </c>
      <c r="D344">
        <v>155.19999999999999</v>
      </c>
      <c r="E344">
        <v>210.8</v>
      </c>
      <c r="F344">
        <v>174.3</v>
      </c>
      <c r="G344">
        <v>166.3</v>
      </c>
      <c r="H344">
        <v>202.2</v>
      </c>
      <c r="I344">
        <v>169.6</v>
      </c>
      <c r="J344">
        <v>168.6</v>
      </c>
      <c r="K344">
        <v>164.4</v>
      </c>
      <c r="L344">
        <v>119.2</v>
      </c>
      <c r="M344">
        <v>191.8</v>
      </c>
      <c r="N344">
        <v>174.5</v>
      </c>
      <c r="O344">
        <v>183.1</v>
      </c>
      <c r="P344">
        <v>172.5</v>
      </c>
      <c r="Q344" s="3">
        <f t="shared" si="52"/>
        <v>173.26923076923077</v>
      </c>
      <c r="R344" s="3">
        <v>193.2</v>
      </c>
      <c r="S344">
        <v>182</v>
      </c>
      <c r="T344">
        <v>180.3</v>
      </c>
      <c r="U344">
        <v>181.7</v>
      </c>
      <c r="V344" s="3">
        <f t="shared" si="53"/>
        <v>181.33333333333334</v>
      </c>
      <c r="W344" t="s">
        <v>32</v>
      </c>
      <c r="X344" s="3">
        <f t="shared" si="54"/>
        <v>167.8</v>
      </c>
      <c r="Y344" s="3">
        <v>178.8</v>
      </c>
      <c r="Z344">
        <v>179.6</v>
      </c>
      <c r="AA344">
        <v>171.3</v>
      </c>
      <c r="AB344">
        <v>166.3</v>
      </c>
      <c r="AC344">
        <v>168.6</v>
      </c>
      <c r="AD344">
        <v>169.7</v>
      </c>
      <c r="AE344" s="3">
        <f t="shared" si="55"/>
        <v>171.1</v>
      </c>
      <c r="AF344" s="3">
        <v>174.7</v>
      </c>
      <c r="AG344" s="3">
        <v>171.8</v>
      </c>
      <c r="AH344">
        <v>174.3</v>
      </c>
    </row>
    <row r="345" spans="1:34" x14ac:dyDescent="0.3">
      <c r="A345" t="s">
        <v>33</v>
      </c>
      <c r="B345">
        <v>2022</v>
      </c>
      <c r="C345" t="s">
        <v>40</v>
      </c>
      <c r="D345">
        <v>159.30000000000001</v>
      </c>
      <c r="E345">
        <v>217.1</v>
      </c>
      <c r="F345">
        <v>176.6</v>
      </c>
      <c r="G345">
        <v>167.1</v>
      </c>
      <c r="H345">
        <v>184.8</v>
      </c>
      <c r="I345">
        <v>179.5</v>
      </c>
      <c r="J345">
        <v>208.5</v>
      </c>
      <c r="K345">
        <v>164</v>
      </c>
      <c r="L345">
        <v>121.5</v>
      </c>
      <c r="M345">
        <v>186.3</v>
      </c>
      <c r="N345">
        <v>159.80000000000001</v>
      </c>
      <c r="O345">
        <v>187.7</v>
      </c>
      <c r="P345">
        <v>179.4</v>
      </c>
      <c r="Q345" s="3">
        <f t="shared" si="52"/>
        <v>176.27692307692308</v>
      </c>
      <c r="R345" s="3">
        <v>198.6</v>
      </c>
      <c r="S345">
        <v>172.7</v>
      </c>
      <c r="T345">
        <v>158.69999999999999</v>
      </c>
      <c r="U345">
        <v>170.6</v>
      </c>
      <c r="V345" s="3">
        <f t="shared" si="53"/>
        <v>167.33333333333334</v>
      </c>
      <c r="W345">
        <v>167.8</v>
      </c>
      <c r="X345" s="3">
        <f t="shared" si="54"/>
        <v>167.8</v>
      </c>
      <c r="Y345" s="3">
        <v>171.7</v>
      </c>
      <c r="Z345">
        <v>179.5</v>
      </c>
      <c r="AA345">
        <v>163.1</v>
      </c>
      <c r="AB345">
        <v>157.4</v>
      </c>
      <c r="AC345">
        <v>164.6</v>
      </c>
      <c r="AD345">
        <v>169.8</v>
      </c>
      <c r="AE345" s="3">
        <f t="shared" si="55"/>
        <v>166.88000000000002</v>
      </c>
      <c r="AF345" s="3">
        <v>169.1</v>
      </c>
      <c r="AG345" s="3">
        <v>164.7</v>
      </c>
      <c r="AH345">
        <v>172.3</v>
      </c>
    </row>
    <row r="346" spans="1:34" x14ac:dyDescent="0.3">
      <c r="A346" t="s">
        <v>34</v>
      </c>
      <c r="B346">
        <v>2022</v>
      </c>
      <c r="C346" t="s">
        <v>40</v>
      </c>
      <c r="D346">
        <v>156.5</v>
      </c>
      <c r="E346">
        <v>213</v>
      </c>
      <c r="F346">
        <v>175.2</v>
      </c>
      <c r="G346">
        <v>166.6</v>
      </c>
      <c r="H346">
        <v>195.8</v>
      </c>
      <c r="I346">
        <v>174.2</v>
      </c>
      <c r="J346">
        <v>182.1</v>
      </c>
      <c r="K346">
        <v>164.3</v>
      </c>
      <c r="L346">
        <v>120</v>
      </c>
      <c r="M346">
        <v>190</v>
      </c>
      <c r="N346">
        <v>168.4</v>
      </c>
      <c r="O346">
        <v>185.2</v>
      </c>
      <c r="P346">
        <v>175</v>
      </c>
      <c r="Q346" s="3">
        <f t="shared" si="52"/>
        <v>174.33076923076925</v>
      </c>
      <c r="R346" s="3">
        <v>194.6</v>
      </c>
      <c r="S346">
        <v>178.3</v>
      </c>
      <c r="T346">
        <v>171.3</v>
      </c>
      <c r="U346">
        <v>177.3</v>
      </c>
      <c r="V346" s="3">
        <f t="shared" si="53"/>
        <v>175.63333333333335</v>
      </c>
      <c r="W346">
        <v>167.8</v>
      </c>
      <c r="X346" s="3">
        <f t="shared" si="54"/>
        <v>167.8</v>
      </c>
      <c r="Y346" s="3">
        <v>176.1</v>
      </c>
      <c r="Z346">
        <v>179.6</v>
      </c>
      <c r="AA346">
        <v>167.4</v>
      </c>
      <c r="AB346">
        <v>161.6</v>
      </c>
      <c r="AC346">
        <v>166.3</v>
      </c>
      <c r="AD346">
        <v>169.7</v>
      </c>
      <c r="AE346" s="3">
        <f t="shared" si="55"/>
        <v>168.92000000000002</v>
      </c>
      <c r="AF346" s="3">
        <v>171.4</v>
      </c>
      <c r="AG346" s="3">
        <v>168.4</v>
      </c>
      <c r="AH346">
        <v>173.4</v>
      </c>
    </row>
    <row r="347" spans="1:34" x14ac:dyDescent="0.3">
      <c r="A347" t="s">
        <v>30</v>
      </c>
      <c r="B347">
        <v>2022</v>
      </c>
      <c r="C347" t="s">
        <v>41</v>
      </c>
      <c r="D347">
        <v>159.5</v>
      </c>
      <c r="E347">
        <v>204.1</v>
      </c>
      <c r="F347">
        <v>168.3</v>
      </c>
      <c r="G347">
        <v>167.9</v>
      </c>
      <c r="H347">
        <v>198.1</v>
      </c>
      <c r="I347">
        <v>169.2</v>
      </c>
      <c r="J347">
        <v>173.1</v>
      </c>
      <c r="K347">
        <v>167.1</v>
      </c>
      <c r="L347">
        <v>120.2</v>
      </c>
      <c r="M347">
        <v>195.6</v>
      </c>
      <c r="N347">
        <v>174.8</v>
      </c>
      <c r="O347">
        <v>184</v>
      </c>
      <c r="P347">
        <v>173.9</v>
      </c>
      <c r="Q347" s="3">
        <f t="shared" si="52"/>
        <v>173.5230769230769</v>
      </c>
      <c r="R347" s="3">
        <v>193.7</v>
      </c>
      <c r="S347">
        <v>183.2</v>
      </c>
      <c r="T347">
        <v>181.7</v>
      </c>
      <c r="U347">
        <v>183</v>
      </c>
      <c r="V347" s="3">
        <f t="shared" si="53"/>
        <v>182.63333333333333</v>
      </c>
      <c r="W347" t="s">
        <v>32</v>
      </c>
      <c r="X347" s="3">
        <f t="shared" si="54"/>
        <v>169</v>
      </c>
      <c r="Y347" s="3">
        <v>179.4</v>
      </c>
      <c r="Z347">
        <v>179.1</v>
      </c>
      <c r="AA347">
        <v>172.3</v>
      </c>
      <c r="AB347">
        <v>166.6</v>
      </c>
      <c r="AC347">
        <v>169.3</v>
      </c>
      <c r="AD347">
        <v>171.1</v>
      </c>
      <c r="AE347" s="3">
        <f t="shared" si="55"/>
        <v>171.68</v>
      </c>
      <c r="AF347" s="3">
        <v>175.7</v>
      </c>
      <c r="AG347" s="3">
        <v>172.6</v>
      </c>
      <c r="AH347">
        <v>175.3</v>
      </c>
    </row>
    <row r="348" spans="1:34" x14ac:dyDescent="0.3">
      <c r="A348" t="s">
        <v>33</v>
      </c>
      <c r="B348">
        <v>2022</v>
      </c>
      <c r="C348" t="s">
        <v>41</v>
      </c>
      <c r="D348">
        <v>162.1</v>
      </c>
      <c r="E348">
        <v>210.9</v>
      </c>
      <c r="F348">
        <v>170.6</v>
      </c>
      <c r="G348">
        <v>168.4</v>
      </c>
      <c r="H348">
        <v>182.5</v>
      </c>
      <c r="I348">
        <v>177.1</v>
      </c>
      <c r="J348">
        <v>213.1</v>
      </c>
      <c r="K348">
        <v>167.3</v>
      </c>
      <c r="L348">
        <v>122.2</v>
      </c>
      <c r="M348">
        <v>189.7</v>
      </c>
      <c r="N348">
        <v>160.5</v>
      </c>
      <c r="O348">
        <v>188.9</v>
      </c>
      <c r="P348">
        <v>180.4</v>
      </c>
      <c r="Q348" s="3">
        <f t="shared" si="52"/>
        <v>176.43846153846152</v>
      </c>
      <c r="R348" s="3">
        <v>198.7</v>
      </c>
      <c r="S348">
        <v>173.7</v>
      </c>
      <c r="T348">
        <v>160</v>
      </c>
      <c r="U348">
        <v>171.6</v>
      </c>
      <c r="V348" s="3">
        <f t="shared" si="53"/>
        <v>168.43333333333331</v>
      </c>
      <c r="W348">
        <v>169</v>
      </c>
      <c r="X348" s="3">
        <f t="shared" si="54"/>
        <v>169</v>
      </c>
      <c r="Y348" s="3">
        <v>172.6</v>
      </c>
      <c r="Z348">
        <v>178.4</v>
      </c>
      <c r="AA348">
        <v>164.2</v>
      </c>
      <c r="AB348">
        <v>157.69999999999999</v>
      </c>
      <c r="AC348">
        <v>165.1</v>
      </c>
      <c r="AD348">
        <v>171.4</v>
      </c>
      <c r="AE348" s="3">
        <f t="shared" si="55"/>
        <v>167.35999999999999</v>
      </c>
      <c r="AF348" s="3">
        <v>169.9</v>
      </c>
      <c r="AG348" s="3">
        <v>165.4</v>
      </c>
      <c r="AH348">
        <v>173.1</v>
      </c>
    </row>
    <row r="349" spans="1:34" x14ac:dyDescent="0.3">
      <c r="A349" t="s">
        <v>34</v>
      </c>
      <c r="B349">
        <v>2022</v>
      </c>
      <c r="C349" t="s">
        <v>41</v>
      </c>
      <c r="D349">
        <v>160.30000000000001</v>
      </c>
      <c r="E349">
        <v>206.5</v>
      </c>
      <c r="F349">
        <v>169.2</v>
      </c>
      <c r="G349">
        <v>168.1</v>
      </c>
      <c r="H349">
        <v>192.4</v>
      </c>
      <c r="I349">
        <v>172.9</v>
      </c>
      <c r="J349">
        <v>186.7</v>
      </c>
      <c r="K349">
        <v>167.2</v>
      </c>
      <c r="L349">
        <v>120.9</v>
      </c>
      <c r="M349">
        <v>193.6</v>
      </c>
      <c r="N349">
        <v>168.8</v>
      </c>
      <c r="O349">
        <v>186.3</v>
      </c>
      <c r="P349">
        <v>176.3</v>
      </c>
      <c r="Q349" s="3">
        <f t="shared" si="52"/>
        <v>174.55384615384617</v>
      </c>
      <c r="R349" s="3">
        <v>195</v>
      </c>
      <c r="S349">
        <v>179.5</v>
      </c>
      <c r="T349">
        <v>172.7</v>
      </c>
      <c r="U349">
        <v>178.5</v>
      </c>
      <c r="V349" s="3">
        <f t="shared" si="53"/>
        <v>176.9</v>
      </c>
      <c r="W349">
        <v>169</v>
      </c>
      <c r="X349" s="3">
        <f t="shared" si="54"/>
        <v>169</v>
      </c>
      <c r="Y349" s="3">
        <v>176.8</v>
      </c>
      <c r="Z349">
        <v>178.8</v>
      </c>
      <c r="AA349">
        <v>168.5</v>
      </c>
      <c r="AB349">
        <v>161.9</v>
      </c>
      <c r="AC349">
        <v>166.9</v>
      </c>
      <c r="AD349">
        <v>171.2</v>
      </c>
      <c r="AE349" s="3">
        <f t="shared" si="55"/>
        <v>169.45999999999998</v>
      </c>
      <c r="AF349" s="3">
        <v>172.3</v>
      </c>
      <c r="AG349" s="3">
        <v>169.1</v>
      </c>
      <c r="AH349">
        <v>174.3</v>
      </c>
    </row>
    <row r="350" spans="1:34" x14ac:dyDescent="0.3">
      <c r="A350" t="s">
        <v>30</v>
      </c>
      <c r="B350">
        <v>2022</v>
      </c>
      <c r="C350" t="s">
        <v>42</v>
      </c>
      <c r="D350">
        <v>162.9</v>
      </c>
      <c r="E350">
        <v>206.7</v>
      </c>
      <c r="F350">
        <v>169</v>
      </c>
      <c r="G350">
        <v>169.5</v>
      </c>
      <c r="H350">
        <v>194.1</v>
      </c>
      <c r="I350">
        <v>164.1</v>
      </c>
      <c r="J350">
        <v>176.9</v>
      </c>
      <c r="K350">
        <v>169</v>
      </c>
      <c r="L350">
        <v>120.8</v>
      </c>
      <c r="M350">
        <v>199.1</v>
      </c>
      <c r="N350">
        <v>175.4</v>
      </c>
      <c r="O350">
        <v>184.8</v>
      </c>
      <c r="P350">
        <v>175.5</v>
      </c>
      <c r="Q350" s="3">
        <f t="shared" si="52"/>
        <v>174.44615384615386</v>
      </c>
      <c r="R350" s="3">
        <v>194.5</v>
      </c>
      <c r="S350">
        <v>184.7</v>
      </c>
      <c r="T350">
        <v>183.3</v>
      </c>
      <c r="U350">
        <v>184.5</v>
      </c>
      <c r="V350" s="3">
        <f t="shared" si="53"/>
        <v>184.16666666666666</v>
      </c>
      <c r="W350" t="s">
        <v>32</v>
      </c>
      <c r="X350" s="3">
        <f t="shared" si="54"/>
        <v>169.5</v>
      </c>
      <c r="Y350" s="3">
        <v>180.2</v>
      </c>
      <c r="Z350">
        <v>179.7</v>
      </c>
      <c r="AA350">
        <v>173.6</v>
      </c>
      <c r="AB350">
        <v>166.9</v>
      </c>
      <c r="AC350">
        <v>170</v>
      </c>
      <c r="AD350">
        <v>170.8</v>
      </c>
      <c r="AE350" s="3">
        <f t="shared" si="55"/>
        <v>172.2</v>
      </c>
      <c r="AF350" s="3">
        <v>176.2</v>
      </c>
      <c r="AG350" s="3">
        <v>173.1</v>
      </c>
      <c r="AH350">
        <v>176.4</v>
      </c>
    </row>
    <row r="351" spans="1:34" x14ac:dyDescent="0.3">
      <c r="A351" t="s">
        <v>33</v>
      </c>
      <c r="B351">
        <v>2022</v>
      </c>
      <c r="C351" t="s">
        <v>42</v>
      </c>
      <c r="D351">
        <v>164.9</v>
      </c>
      <c r="E351">
        <v>213.7</v>
      </c>
      <c r="F351">
        <v>170.9</v>
      </c>
      <c r="G351">
        <v>170.1</v>
      </c>
      <c r="H351">
        <v>179.3</v>
      </c>
      <c r="I351">
        <v>167.5</v>
      </c>
      <c r="J351">
        <v>220.8</v>
      </c>
      <c r="K351">
        <v>169.2</v>
      </c>
      <c r="L351">
        <v>123.1</v>
      </c>
      <c r="M351">
        <v>193.6</v>
      </c>
      <c r="N351">
        <v>161.1</v>
      </c>
      <c r="O351">
        <v>190.4</v>
      </c>
      <c r="P351">
        <v>181.8</v>
      </c>
      <c r="Q351" s="3">
        <f t="shared" si="52"/>
        <v>177.41538461538462</v>
      </c>
      <c r="R351" s="3">
        <v>199.7</v>
      </c>
      <c r="S351">
        <v>175</v>
      </c>
      <c r="T351">
        <v>161.69999999999999</v>
      </c>
      <c r="U351">
        <v>173</v>
      </c>
      <c r="V351" s="3">
        <f t="shared" si="53"/>
        <v>169.9</v>
      </c>
      <c r="W351">
        <v>169.5</v>
      </c>
      <c r="X351" s="3">
        <f t="shared" si="54"/>
        <v>169.5</v>
      </c>
      <c r="Y351" s="3">
        <v>173.8</v>
      </c>
      <c r="Z351">
        <v>179.2</v>
      </c>
      <c r="AA351">
        <v>165</v>
      </c>
      <c r="AB351">
        <v>158.19999999999999</v>
      </c>
      <c r="AC351">
        <v>165.8</v>
      </c>
      <c r="AD351">
        <v>171.1</v>
      </c>
      <c r="AE351" s="3">
        <f t="shared" si="55"/>
        <v>167.86</v>
      </c>
      <c r="AF351" s="3">
        <v>170.9</v>
      </c>
      <c r="AG351" s="3">
        <v>166.1</v>
      </c>
      <c r="AH351">
        <v>174.1</v>
      </c>
    </row>
    <row r="352" spans="1:34" x14ac:dyDescent="0.3">
      <c r="A352" t="s">
        <v>34</v>
      </c>
      <c r="B352">
        <v>2022</v>
      </c>
      <c r="C352" t="s">
        <v>42</v>
      </c>
      <c r="D352">
        <v>163.5</v>
      </c>
      <c r="E352">
        <v>209.2</v>
      </c>
      <c r="F352">
        <v>169.7</v>
      </c>
      <c r="G352">
        <v>169.7</v>
      </c>
      <c r="H352">
        <v>188.7</v>
      </c>
      <c r="I352">
        <v>165.7</v>
      </c>
      <c r="J352">
        <v>191.8</v>
      </c>
      <c r="K352">
        <v>169.1</v>
      </c>
      <c r="L352">
        <v>121.6</v>
      </c>
      <c r="M352">
        <v>197.3</v>
      </c>
      <c r="N352">
        <v>169.4</v>
      </c>
      <c r="O352">
        <v>187.4</v>
      </c>
      <c r="P352">
        <v>177.8</v>
      </c>
      <c r="Q352" s="3">
        <f t="shared" si="52"/>
        <v>175.45384615384617</v>
      </c>
      <c r="R352" s="3">
        <v>195.9</v>
      </c>
      <c r="S352">
        <v>180.9</v>
      </c>
      <c r="T352">
        <v>174.3</v>
      </c>
      <c r="U352">
        <v>179.9</v>
      </c>
      <c r="V352" s="3">
        <f t="shared" si="53"/>
        <v>178.36666666666667</v>
      </c>
      <c r="W352">
        <v>169.5</v>
      </c>
      <c r="X352" s="3">
        <f t="shared" si="54"/>
        <v>169.5</v>
      </c>
      <c r="Y352" s="3">
        <v>177.8</v>
      </c>
      <c r="Z352">
        <v>179.5</v>
      </c>
      <c r="AA352">
        <v>169.5</v>
      </c>
      <c r="AB352">
        <v>162.30000000000001</v>
      </c>
      <c r="AC352">
        <v>167.6</v>
      </c>
      <c r="AD352">
        <v>170.9</v>
      </c>
      <c r="AE352" s="3">
        <f t="shared" si="55"/>
        <v>169.95999999999998</v>
      </c>
      <c r="AF352" s="3">
        <v>173.1</v>
      </c>
      <c r="AG352" s="3">
        <v>169.7</v>
      </c>
      <c r="AH352">
        <v>175.3</v>
      </c>
    </row>
    <row r="353" spans="1:34" x14ac:dyDescent="0.3">
      <c r="A353" t="s">
        <v>30</v>
      </c>
      <c r="B353">
        <v>2022</v>
      </c>
      <c r="C353" t="s">
        <v>43</v>
      </c>
      <c r="D353">
        <v>164.7</v>
      </c>
      <c r="E353">
        <v>208.8</v>
      </c>
      <c r="F353">
        <v>170.3</v>
      </c>
      <c r="G353">
        <v>170.9</v>
      </c>
      <c r="H353">
        <v>191.6</v>
      </c>
      <c r="I353">
        <v>162.19999999999999</v>
      </c>
      <c r="J353">
        <v>184.8</v>
      </c>
      <c r="K353">
        <v>169.7</v>
      </c>
      <c r="L353">
        <v>121.1</v>
      </c>
      <c r="M353">
        <v>201.6</v>
      </c>
      <c r="N353">
        <v>175.8</v>
      </c>
      <c r="O353">
        <v>185.6</v>
      </c>
      <c r="P353">
        <v>177.4</v>
      </c>
      <c r="Q353" s="3">
        <f t="shared" si="52"/>
        <v>175.73076923076923</v>
      </c>
      <c r="R353" s="3">
        <v>194.9</v>
      </c>
      <c r="S353">
        <v>186.1</v>
      </c>
      <c r="T353">
        <v>184.4</v>
      </c>
      <c r="U353">
        <v>185.9</v>
      </c>
      <c r="V353" s="3">
        <f t="shared" si="53"/>
        <v>185.46666666666667</v>
      </c>
      <c r="W353" t="s">
        <v>32</v>
      </c>
      <c r="X353" s="3">
        <f t="shared" si="54"/>
        <v>171.2</v>
      </c>
      <c r="Y353" s="3">
        <v>181.2</v>
      </c>
      <c r="Z353">
        <v>180.8</v>
      </c>
      <c r="AA353">
        <v>174.4</v>
      </c>
      <c r="AB353">
        <v>167.4</v>
      </c>
      <c r="AC353">
        <v>170.6</v>
      </c>
      <c r="AD353">
        <v>172</v>
      </c>
      <c r="AE353" s="3">
        <f t="shared" si="55"/>
        <v>173.04000000000002</v>
      </c>
      <c r="AF353" s="3">
        <v>176.5</v>
      </c>
      <c r="AG353" s="3">
        <v>173.9</v>
      </c>
      <c r="AH353">
        <v>177.9</v>
      </c>
    </row>
    <row r="354" spans="1:34" x14ac:dyDescent="0.3">
      <c r="A354" t="s">
        <v>33</v>
      </c>
      <c r="B354">
        <v>2022</v>
      </c>
      <c r="C354" t="s">
        <v>43</v>
      </c>
      <c r="D354">
        <v>166.4</v>
      </c>
      <c r="E354">
        <v>214.9</v>
      </c>
      <c r="F354">
        <v>171.9</v>
      </c>
      <c r="G354">
        <v>171</v>
      </c>
      <c r="H354">
        <v>177.7</v>
      </c>
      <c r="I354">
        <v>165.7</v>
      </c>
      <c r="J354">
        <v>228.6</v>
      </c>
      <c r="K354">
        <v>169.9</v>
      </c>
      <c r="L354">
        <v>123.4</v>
      </c>
      <c r="M354">
        <v>196.4</v>
      </c>
      <c r="N354">
        <v>161.6</v>
      </c>
      <c r="O354">
        <v>191.5</v>
      </c>
      <c r="P354">
        <v>183.3</v>
      </c>
      <c r="Q354" s="3">
        <f t="shared" si="52"/>
        <v>178.63846153846154</v>
      </c>
      <c r="R354" s="3">
        <v>200.1</v>
      </c>
      <c r="S354">
        <v>175.5</v>
      </c>
      <c r="T354">
        <v>162.6</v>
      </c>
      <c r="U354">
        <v>173.6</v>
      </c>
      <c r="V354" s="3">
        <f t="shared" si="53"/>
        <v>170.56666666666669</v>
      </c>
      <c r="W354">
        <v>171.2</v>
      </c>
      <c r="X354" s="3">
        <f t="shared" si="54"/>
        <v>171.2</v>
      </c>
      <c r="Y354" s="3">
        <v>174.7</v>
      </c>
      <c r="Z354">
        <v>180</v>
      </c>
      <c r="AA354">
        <v>166</v>
      </c>
      <c r="AB354">
        <v>158.80000000000001</v>
      </c>
      <c r="AC354">
        <v>166.3</v>
      </c>
      <c r="AD354">
        <v>172.3</v>
      </c>
      <c r="AE354" s="3">
        <f t="shared" si="55"/>
        <v>168.68</v>
      </c>
      <c r="AF354" s="3">
        <v>171.2</v>
      </c>
      <c r="AG354" s="3">
        <v>166.8</v>
      </c>
      <c r="AH354">
        <v>175.3</v>
      </c>
    </row>
    <row r="355" spans="1:34" x14ac:dyDescent="0.3">
      <c r="A355" t="s">
        <v>34</v>
      </c>
      <c r="B355">
        <v>2022</v>
      </c>
      <c r="C355" t="s">
        <v>43</v>
      </c>
      <c r="D355">
        <v>165.2</v>
      </c>
      <c r="E355">
        <v>210.9</v>
      </c>
      <c r="F355">
        <v>170.9</v>
      </c>
      <c r="G355">
        <v>170.9</v>
      </c>
      <c r="H355">
        <v>186.5</v>
      </c>
      <c r="I355">
        <v>163.80000000000001</v>
      </c>
      <c r="J355">
        <v>199.7</v>
      </c>
      <c r="K355">
        <v>169.8</v>
      </c>
      <c r="L355">
        <v>121.9</v>
      </c>
      <c r="M355">
        <v>199.9</v>
      </c>
      <c r="N355">
        <v>169.9</v>
      </c>
      <c r="O355">
        <v>188.3</v>
      </c>
      <c r="P355">
        <v>179.6</v>
      </c>
      <c r="Q355" s="3">
        <f t="shared" si="52"/>
        <v>176.71538461538464</v>
      </c>
      <c r="R355" s="3">
        <v>196.3</v>
      </c>
      <c r="S355">
        <v>181.9</v>
      </c>
      <c r="T355">
        <v>175.3</v>
      </c>
      <c r="U355">
        <v>181</v>
      </c>
      <c r="V355" s="3">
        <f t="shared" si="53"/>
        <v>179.4</v>
      </c>
      <c r="W355">
        <v>171.2</v>
      </c>
      <c r="X355" s="3">
        <f t="shared" si="54"/>
        <v>171.2</v>
      </c>
      <c r="Y355" s="3">
        <v>178.7</v>
      </c>
      <c r="Z355">
        <v>180.5</v>
      </c>
      <c r="AA355">
        <v>170.4</v>
      </c>
      <c r="AB355">
        <v>162.9</v>
      </c>
      <c r="AC355">
        <v>168.2</v>
      </c>
      <c r="AD355">
        <v>172.1</v>
      </c>
      <c r="AE355" s="3">
        <f t="shared" si="55"/>
        <v>170.82</v>
      </c>
      <c r="AF355" s="3">
        <v>173.4</v>
      </c>
      <c r="AG355" s="3">
        <v>170.5</v>
      </c>
      <c r="AH355">
        <v>176.7</v>
      </c>
    </row>
    <row r="356" spans="1:34" x14ac:dyDescent="0.3">
      <c r="A356" t="s">
        <v>30</v>
      </c>
      <c r="B356">
        <v>2022</v>
      </c>
      <c r="C356" t="s">
        <v>45</v>
      </c>
      <c r="D356">
        <v>166.9</v>
      </c>
      <c r="E356">
        <v>207.2</v>
      </c>
      <c r="F356">
        <v>180.2</v>
      </c>
      <c r="G356">
        <v>172.3</v>
      </c>
      <c r="H356">
        <v>194</v>
      </c>
      <c r="I356">
        <v>159.1</v>
      </c>
      <c r="J356">
        <v>171.6</v>
      </c>
      <c r="K356">
        <v>170.2</v>
      </c>
      <c r="L356">
        <v>121.5</v>
      </c>
      <c r="M356">
        <v>204.8</v>
      </c>
      <c r="N356">
        <v>176.4</v>
      </c>
      <c r="O356">
        <v>186.9</v>
      </c>
      <c r="P356">
        <v>176.6</v>
      </c>
      <c r="Q356" s="3">
        <f t="shared" si="52"/>
        <v>175.97692307692307</v>
      </c>
      <c r="R356" s="3">
        <v>195.5</v>
      </c>
      <c r="S356">
        <v>187.2</v>
      </c>
      <c r="T356">
        <v>185.2</v>
      </c>
      <c r="U356">
        <v>186.9</v>
      </c>
      <c r="V356" s="3">
        <f t="shared" si="53"/>
        <v>186.43333333333331</v>
      </c>
      <c r="W356" t="s">
        <v>32</v>
      </c>
      <c r="X356" s="3">
        <f t="shared" si="54"/>
        <v>171.8</v>
      </c>
      <c r="Y356" s="3">
        <v>182.3</v>
      </c>
      <c r="Z356">
        <v>181.9</v>
      </c>
      <c r="AA356">
        <v>175.5</v>
      </c>
      <c r="AB356">
        <v>167.5</v>
      </c>
      <c r="AC356">
        <v>170.8</v>
      </c>
      <c r="AD356">
        <v>173.4</v>
      </c>
      <c r="AE356" s="3">
        <f t="shared" si="55"/>
        <v>173.82</v>
      </c>
      <c r="AF356" s="3">
        <v>176.9</v>
      </c>
      <c r="AG356" s="3">
        <v>174.6</v>
      </c>
      <c r="AH356">
        <v>177.8</v>
      </c>
    </row>
    <row r="357" spans="1:34" x14ac:dyDescent="0.3">
      <c r="A357" t="s">
        <v>33</v>
      </c>
      <c r="B357">
        <v>2022</v>
      </c>
      <c r="C357" t="s">
        <v>45</v>
      </c>
      <c r="D357">
        <v>168.4</v>
      </c>
      <c r="E357">
        <v>213.4</v>
      </c>
      <c r="F357">
        <v>183.2</v>
      </c>
      <c r="G357">
        <v>172.3</v>
      </c>
      <c r="H357">
        <v>180</v>
      </c>
      <c r="I357">
        <v>162.6</v>
      </c>
      <c r="J357">
        <v>205.5</v>
      </c>
      <c r="K357">
        <v>171</v>
      </c>
      <c r="L357">
        <v>123.4</v>
      </c>
      <c r="M357">
        <v>198.8</v>
      </c>
      <c r="N357">
        <v>162.1</v>
      </c>
      <c r="O357">
        <v>192.4</v>
      </c>
      <c r="P357">
        <v>181.3</v>
      </c>
      <c r="Q357" s="3">
        <f t="shared" si="52"/>
        <v>178.03076923076924</v>
      </c>
      <c r="R357" s="3">
        <v>200.6</v>
      </c>
      <c r="S357">
        <v>176.7</v>
      </c>
      <c r="T357">
        <v>163.5</v>
      </c>
      <c r="U357">
        <v>174.7</v>
      </c>
      <c r="V357" s="3">
        <f t="shared" si="53"/>
        <v>171.63333333333333</v>
      </c>
      <c r="W357">
        <v>171.8</v>
      </c>
      <c r="X357" s="3">
        <f t="shared" si="54"/>
        <v>171.8</v>
      </c>
      <c r="Y357" s="3">
        <v>175.8</v>
      </c>
      <c r="Z357">
        <v>180.3</v>
      </c>
      <c r="AA357">
        <v>166.9</v>
      </c>
      <c r="AB357">
        <v>158.9</v>
      </c>
      <c r="AC357">
        <v>166.7</v>
      </c>
      <c r="AD357">
        <v>173.8</v>
      </c>
      <c r="AE357" s="3">
        <f t="shared" si="55"/>
        <v>169.32</v>
      </c>
      <c r="AF357" s="3">
        <v>171.5</v>
      </c>
      <c r="AG357" s="3">
        <v>167.4</v>
      </c>
      <c r="AH357">
        <v>174.1</v>
      </c>
    </row>
    <row r="358" spans="1:34" x14ac:dyDescent="0.3">
      <c r="A358" t="s">
        <v>34</v>
      </c>
      <c r="B358">
        <v>2022</v>
      </c>
      <c r="C358" t="s">
        <v>45</v>
      </c>
      <c r="D358">
        <v>167.4</v>
      </c>
      <c r="E358">
        <v>209.4</v>
      </c>
      <c r="F358">
        <v>181.4</v>
      </c>
      <c r="G358">
        <v>172.3</v>
      </c>
      <c r="H358">
        <v>188.9</v>
      </c>
      <c r="I358">
        <v>160.69999999999999</v>
      </c>
      <c r="J358">
        <v>183.1</v>
      </c>
      <c r="K358">
        <v>170.5</v>
      </c>
      <c r="L358">
        <v>122.1</v>
      </c>
      <c r="M358">
        <v>202.8</v>
      </c>
      <c r="N358">
        <v>170.4</v>
      </c>
      <c r="O358">
        <v>189.5</v>
      </c>
      <c r="P358">
        <v>178.3</v>
      </c>
      <c r="Q358" s="3">
        <f t="shared" si="52"/>
        <v>176.67692307692309</v>
      </c>
      <c r="R358" s="3">
        <v>196.9</v>
      </c>
      <c r="S358">
        <v>183.1</v>
      </c>
      <c r="T358">
        <v>176.2</v>
      </c>
      <c r="U358">
        <v>182.1</v>
      </c>
      <c r="V358" s="3">
        <f t="shared" si="53"/>
        <v>180.46666666666667</v>
      </c>
      <c r="W358">
        <v>171.8</v>
      </c>
      <c r="X358" s="3">
        <f t="shared" si="54"/>
        <v>171.8</v>
      </c>
      <c r="Y358" s="3">
        <v>179.8</v>
      </c>
      <c r="Z358">
        <v>181.3</v>
      </c>
      <c r="AA358">
        <v>171.4</v>
      </c>
      <c r="AB358">
        <v>163</v>
      </c>
      <c r="AC358">
        <v>168.5</v>
      </c>
      <c r="AD358">
        <v>173.6</v>
      </c>
      <c r="AE358" s="3">
        <f t="shared" si="55"/>
        <v>171.56</v>
      </c>
      <c r="AF358" s="3">
        <v>173.7</v>
      </c>
      <c r="AG358" s="3">
        <v>171.1</v>
      </c>
      <c r="AH358">
        <v>176.5</v>
      </c>
    </row>
    <row r="359" spans="1:34" x14ac:dyDescent="0.3">
      <c r="A359" t="s">
        <v>30</v>
      </c>
      <c r="B359">
        <v>2022</v>
      </c>
      <c r="C359" t="s">
        <v>46</v>
      </c>
      <c r="D359">
        <v>168.8</v>
      </c>
      <c r="E359">
        <v>206.9</v>
      </c>
      <c r="F359">
        <v>189.1</v>
      </c>
      <c r="G359">
        <v>173.4</v>
      </c>
      <c r="H359">
        <v>193.9</v>
      </c>
      <c r="I359">
        <v>156.69999999999999</v>
      </c>
      <c r="J359">
        <v>150.19999999999999</v>
      </c>
      <c r="K359">
        <v>170.5</v>
      </c>
      <c r="L359">
        <v>121.2</v>
      </c>
      <c r="M359">
        <v>207.5</v>
      </c>
      <c r="N359">
        <v>176.8</v>
      </c>
      <c r="O359">
        <v>187.7</v>
      </c>
      <c r="P359">
        <v>174.4</v>
      </c>
      <c r="Q359" s="3">
        <f t="shared" si="52"/>
        <v>175.16153846153844</v>
      </c>
      <c r="R359" s="3">
        <v>195.9</v>
      </c>
      <c r="S359">
        <v>188.1</v>
      </c>
      <c r="T359">
        <v>185.9</v>
      </c>
      <c r="U359">
        <v>187.8</v>
      </c>
      <c r="V359" s="3">
        <f t="shared" si="53"/>
        <v>187.26666666666665</v>
      </c>
      <c r="W359" t="s">
        <v>32</v>
      </c>
      <c r="X359" s="3">
        <f t="shared" si="54"/>
        <v>170.7</v>
      </c>
      <c r="Y359" s="3">
        <v>183.5</v>
      </c>
      <c r="Z359">
        <v>182.8</v>
      </c>
      <c r="AA359">
        <v>176.4</v>
      </c>
      <c r="AB359">
        <v>167.8</v>
      </c>
      <c r="AC359">
        <v>171.2</v>
      </c>
      <c r="AD359">
        <v>175.7</v>
      </c>
      <c r="AE359" s="3">
        <f t="shared" si="55"/>
        <v>174.78000000000003</v>
      </c>
      <c r="AF359" s="3">
        <v>177.3</v>
      </c>
      <c r="AG359" s="3">
        <v>175.5</v>
      </c>
      <c r="AH359">
        <v>177.1</v>
      </c>
    </row>
    <row r="360" spans="1:34" x14ac:dyDescent="0.3">
      <c r="A360" t="s">
        <v>33</v>
      </c>
      <c r="B360">
        <v>2022</v>
      </c>
      <c r="C360" t="s">
        <v>46</v>
      </c>
      <c r="D360">
        <v>170.2</v>
      </c>
      <c r="E360">
        <v>212.9</v>
      </c>
      <c r="F360">
        <v>191.9</v>
      </c>
      <c r="G360">
        <v>173.9</v>
      </c>
      <c r="H360">
        <v>179.1</v>
      </c>
      <c r="I360">
        <v>159.5</v>
      </c>
      <c r="J360">
        <v>178.7</v>
      </c>
      <c r="K360">
        <v>171.3</v>
      </c>
      <c r="L360">
        <v>123.1</v>
      </c>
      <c r="M360">
        <v>200.5</v>
      </c>
      <c r="N360">
        <v>162.80000000000001</v>
      </c>
      <c r="O360">
        <v>193.3</v>
      </c>
      <c r="P360">
        <v>178.6</v>
      </c>
      <c r="Q360" s="3">
        <f t="shared" si="52"/>
        <v>176.59999999999997</v>
      </c>
      <c r="R360" s="3">
        <v>201.1</v>
      </c>
      <c r="S360">
        <v>177.7</v>
      </c>
      <c r="T360">
        <v>164.5</v>
      </c>
      <c r="U360">
        <v>175.7</v>
      </c>
      <c r="V360" s="3">
        <f t="shared" si="53"/>
        <v>172.63333333333333</v>
      </c>
      <c r="W360">
        <v>170.7</v>
      </c>
      <c r="X360" s="3">
        <f t="shared" si="54"/>
        <v>170.7</v>
      </c>
      <c r="Y360" s="3">
        <v>177.2</v>
      </c>
      <c r="Z360">
        <v>180.6</v>
      </c>
      <c r="AA360">
        <v>167.3</v>
      </c>
      <c r="AB360">
        <v>159.4</v>
      </c>
      <c r="AC360">
        <v>167.1</v>
      </c>
      <c r="AD360">
        <v>176</v>
      </c>
      <c r="AE360" s="3">
        <f t="shared" si="55"/>
        <v>170.07999999999998</v>
      </c>
      <c r="AF360" s="3">
        <v>171.8</v>
      </c>
      <c r="AG360" s="3">
        <v>168.2</v>
      </c>
      <c r="AH360">
        <v>174.1</v>
      </c>
    </row>
    <row r="361" spans="1:34" x14ac:dyDescent="0.3">
      <c r="A361" t="s">
        <v>34</v>
      </c>
      <c r="B361">
        <v>2022</v>
      </c>
      <c r="C361" t="s">
        <v>46</v>
      </c>
      <c r="D361">
        <v>169.2</v>
      </c>
      <c r="E361">
        <v>209</v>
      </c>
      <c r="F361">
        <v>190.2</v>
      </c>
      <c r="G361">
        <v>173.6</v>
      </c>
      <c r="H361">
        <v>188.5</v>
      </c>
      <c r="I361">
        <v>158</v>
      </c>
      <c r="J361">
        <v>159.9</v>
      </c>
      <c r="K361">
        <v>170.8</v>
      </c>
      <c r="L361">
        <v>121.8</v>
      </c>
      <c r="M361">
        <v>205.2</v>
      </c>
      <c r="N361">
        <v>171</v>
      </c>
      <c r="O361">
        <v>190.3</v>
      </c>
      <c r="P361">
        <v>175.9</v>
      </c>
      <c r="Q361" s="3">
        <f t="shared" si="52"/>
        <v>175.64615384615385</v>
      </c>
      <c r="R361" s="3">
        <v>197.3</v>
      </c>
      <c r="S361">
        <v>184</v>
      </c>
      <c r="T361">
        <v>177</v>
      </c>
      <c r="U361">
        <v>183</v>
      </c>
      <c r="V361" s="3">
        <f t="shared" si="53"/>
        <v>181.33333333333334</v>
      </c>
      <c r="W361">
        <v>170.7</v>
      </c>
      <c r="X361" s="3">
        <f t="shared" si="54"/>
        <v>170.7</v>
      </c>
      <c r="Y361" s="3">
        <v>181.1</v>
      </c>
      <c r="Z361">
        <v>182</v>
      </c>
      <c r="AA361">
        <v>172.1</v>
      </c>
      <c r="AB361">
        <v>163.4</v>
      </c>
      <c r="AC361">
        <v>168.9</v>
      </c>
      <c r="AD361">
        <v>175.8</v>
      </c>
      <c r="AE361" s="3">
        <f t="shared" si="55"/>
        <v>172.44</v>
      </c>
      <c r="AF361" s="3">
        <v>174.1</v>
      </c>
      <c r="AG361" s="3">
        <v>172</v>
      </c>
      <c r="AH361">
        <v>175.7</v>
      </c>
    </row>
    <row r="362" spans="1:34" x14ac:dyDescent="0.3">
      <c r="A362" t="s">
        <v>30</v>
      </c>
      <c r="B362">
        <v>2023</v>
      </c>
      <c r="C362" t="s">
        <v>31</v>
      </c>
      <c r="D362">
        <v>174</v>
      </c>
      <c r="E362">
        <v>208.3</v>
      </c>
      <c r="F362">
        <v>192.9</v>
      </c>
      <c r="G362">
        <v>174.3</v>
      </c>
      <c r="H362">
        <v>192.6</v>
      </c>
      <c r="I362">
        <v>156.30000000000001</v>
      </c>
      <c r="J362">
        <v>142.9</v>
      </c>
      <c r="K362">
        <v>170.7</v>
      </c>
      <c r="L362">
        <v>120.3</v>
      </c>
      <c r="M362">
        <v>210.5</v>
      </c>
      <c r="N362">
        <v>176.9</v>
      </c>
      <c r="O362">
        <v>188.5</v>
      </c>
      <c r="P362">
        <v>175</v>
      </c>
      <c r="Q362" s="3">
        <f t="shared" si="52"/>
        <v>175.63076923076926</v>
      </c>
      <c r="R362" s="3">
        <v>196.9</v>
      </c>
      <c r="S362">
        <v>189</v>
      </c>
      <c r="T362">
        <v>186.3</v>
      </c>
      <c r="U362">
        <v>188.6</v>
      </c>
      <c r="V362" s="3">
        <f t="shared" si="53"/>
        <v>187.96666666666667</v>
      </c>
      <c r="W362" t="s">
        <v>32</v>
      </c>
      <c r="X362" s="3">
        <f t="shared" si="54"/>
        <v>172.1</v>
      </c>
      <c r="Y362" s="3">
        <v>184.7</v>
      </c>
      <c r="Z362">
        <v>183.2</v>
      </c>
      <c r="AA362">
        <v>177.2</v>
      </c>
      <c r="AB362">
        <v>168.2</v>
      </c>
      <c r="AC362">
        <v>171.8</v>
      </c>
      <c r="AD362">
        <v>178.4</v>
      </c>
      <c r="AE362" s="3">
        <f t="shared" si="55"/>
        <v>175.75999999999996</v>
      </c>
      <c r="AF362" s="3">
        <v>177.8</v>
      </c>
      <c r="AG362" s="3">
        <v>176.5</v>
      </c>
      <c r="AH362">
        <v>177.8</v>
      </c>
    </row>
    <row r="363" spans="1:34" x14ac:dyDescent="0.3">
      <c r="A363" t="s">
        <v>33</v>
      </c>
      <c r="B363">
        <v>2023</v>
      </c>
      <c r="C363" t="s">
        <v>31</v>
      </c>
      <c r="D363">
        <v>173.3</v>
      </c>
      <c r="E363">
        <v>215.2</v>
      </c>
      <c r="F363">
        <v>197</v>
      </c>
      <c r="G363">
        <v>175.2</v>
      </c>
      <c r="H363">
        <v>178</v>
      </c>
      <c r="I363">
        <v>160.5</v>
      </c>
      <c r="J363">
        <v>175.3</v>
      </c>
      <c r="K363">
        <v>171.2</v>
      </c>
      <c r="L363">
        <v>122.7</v>
      </c>
      <c r="M363">
        <v>204.3</v>
      </c>
      <c r="N363">
        <v>163.69999999999999</v>
      </c>
      <c r="O363">
        <v>194.3</v>
      </c>
      <c r="P363">
        <v>179.5</v>
      </c>
      <c r="Q363" s="3">
        <f t="shared" si="52"/>
        <v>177.70769230769233</v>
      </c>
      <c r="R363" s="3">
        <v>201.6</v>
      </c>
      <c r="S363">
        <v>178.7</v>
      </c>
      <c r="T363">
        <v>165.3</v>
      </c>
      <c r="U363">
        <v>176.6</v>
      </c>
      <c r="V363" s="3">
        <f t="shared" si="53"/>
        <v>173.53333333333333</v>
      </c>
      <c r="W363">
        <v>172.1</v>
      </c>
      <c r="X363" s="3">
        <f t="shared" si="54"/>
        <v>172.1</v>
      </c>
      <c r="Y363" s="3">
        <v>178.5</v>
      </c>
      <c r="Z363">
        <v>180.1</v>
      </c>
      <c r="AA363">
        <v>168</v>
      </c>
      <c r="AB363">
        <v>159.5</v>
      </c>
      <c r="AC363">
        <v>167.8</v>
      </c>
      <c r="AD363">
        <v>178.8</v>
      </c>
      <c r="AE363" s="3">
        <f t="shared" si="55"/>
        <v>170.84</v>
      </c>
      <c r="AF363" s="3">
        <v>171.8</v>
      </c>
      <c r="AG363" s="3">
        <v>168.9</v>
      </c>
      <c r="AH363">
        <v>174.9</v>
      </c>
    </row>
    <row r="364" spans="1:34" x14ac:dyDescent="0.3">
      <c r="A364" t="s">
        <v>34</v>
      </c>
      <c r="B364">
        <v>2023</v>
      </c>
      <c r="C364" t="s">
        <v>31</v>
      </c>
      <c r="D364">
        <v>173.8</v>
      </c>
      <c r="E364">
        <v>210.7</v>
      </c>
      <c r="F364">
        <v>194.5</v>
      </c>
      <c r="G364">
        <v>174.6</v>
      </c>
      <c r="H364">
        <v>187.2</v>
      </c>
      <c r="I364">
        <v>158.30000000000001</v>
      </c>
      <c r="J364">
        <v>153.9</v>
      </c>
      <c r="K364">
        <v>170.9</v>
      </c>
      <c r="L364">
        <v>121.1</v>
      </c>
      <c r="M364">
        <v>208.4</v>
      </c>
      <c r="N364">
        <v>171.4</v>
      </c>
      <c r="O364">
        <v>191.2</v>
      </c>
      <c r="P364">
        <v>176.7</v>
      </c>
      <c r="Q364" s="3">
        <f t="shared" si="52"/>
        <v>176.36153846153846</v>
      </c>
      <c r="R364" s="3">
        <v>198.2</v>
      </c>
      <c r="S364">
        <v>184.9</v>
      </c>
      <c r="T364">
        <v>177.6</v>
      </c>
      <c r="U364">
        <v>183.8</v>
      </c>
      <c r="V364" s="3">
        <f t="shared" si="53"/>
        <v>182.1</v>
      </c>
      <c r="W364">
        <v>172.1</v>
      </c>
      <c r="X364" s="3">
        <f t="shared" si="54"/>
        <v>172.1</v>
      </c>
      <c r="Y364" s="3">
        <v>182.3</v>
      </c>
      <c r="Z364">
        <v>182</v>
      </c>
      <c r="AA364">
        <v>172.9</v>
      </c>
      <c r="AB364">
        <v>163.6</v>
      </c>
      <c r="AC364">
        <v>169.5</v>
      </c>
      <c r="AD364">
        <v>178.6</v>
      </c>
      <c r="AE364" s="3">
        <f t="shared" si="55"/>
        <v>173.32</v>
      </c>
      <c r="AF364" s="3">
        <v>174.3</v>
      </c>
      <c r="AG364" s="3">
        <v>172.8</v>
      </c>
      <c r="AH364">
        <v>176.5</v>
      </c>
    </row>
    <row r="365" spans="1:34" x14ac:dyDescent="0.3">
      <c r="A365" t="s">
        <v>30</v>
      </c>
      <c r="B365">
        <v>2023</v>
      </c>
      <c r="C365" t="s">
        <v>35</v>
      </c>
      <c r="D365">
        <v>174.2</v>
      </c>
      <c r="E365">
        <v>205.2</v>
      </c>
      <c r="F365">
        <v>173.9</v>
      </c>
      <c r="G365">
        <v>177</v>
      </c>
      <c r="H365">
        <v>183.4</v>
      </c>
      <c r="I365">
        <v>167.2</v>
      </c>
      <c r="J365">
        <v>140.9</v>
      </c>
      <c r="K365">
        <v>170.4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 s="3">
        <f t="shared" si="52"/>
        <v>174.28461538461536</v>
      </c>
      <c r="R365" s="3">
        <v>198.3</v>
      </c>
      <c r="S365">
        <v>190</v>
      </c>
      <c r="T365">
        <v>187</v>
      </c>
      <c r="U365">
        <v>189.6</v>
      </c>
      <c r="V365" s="3">
        <f t="shared" si="53"/>
        <v>188.86666666666667</v>
      </c>
      <c r="W365" t="s">
        <v>32</v>
      </c>
      <c r="X365" s="3">
        <f t="shared" si="54"/>
        <v>173.5</v>
      </c>
      <c r="Y365" s="3">
        <v>186.6</v>
      </c>
      <c r="Z365">
        <v>181.6</v>
      </c>
      <c r="AA365">
        <v>178.6</v>
      </c>
      <c r="AB365">
        <v>169</v>
      </c>
      <c r="AC365">
        <v>172.8</v>
      </c>
      <c r="AD365">
        <v>180.7</v>
      </c>
      <c r="AE365" s="3">
        <f t="shared" si="55"/>
        <v>176.54000000000002</v>
      </c>
      <c r="AF365" s="3">
        <v>178.5</v>
      </c>
      <c r="AG365" s="3">
        <v>177.9</v>
      </c>
      <c r="AH365">
        <v>178</v>
      </c>
    </row>
    <row r="366" spans="1:34" x14ac:dyDescent="0.3">
      <c r="A366" t="s">
        <v>33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175.8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180.7</v>
      </c>
      <c r="Q366" s="3">
        <f t="shared" si="52"/>
        <v>177.16923076923075</v>
      </c>
      <c r="R366" s="3">
        <v>202.7</v>
      </c>
      <c r="S366">
        <v>180.3</v>
      </c>
      <c r="T366">
        <v>167</v>
      </c>
      <c r="U366">
        <v>178.2</v>
      </c>
      <c r="V366" s="3">
        <f t="shared" si="53"/>
        <v>175.16666666666666</v>
      </c>
      <c r="W366">
        <v>173.5</v>
      </c>
      <c r="X366" s="3">
        <f t="shared" si="54"/>
        <v>173.5</v>
      </c>
      <c r="Y366" s="3">
        <v>180.8</v>
      </c>
      <c r="Z366">
        <v>182.8</v>
      </c>
      <c r="AA366">
        <v>169.2</v>
      </c>
      <c r="AB366">
        <v>159.80000000000001</v>
      </c>
      <c r="AC366">
        <v>168.4</v>
      </c>
      <c r="AD366">
        <v>181.4</v>
      </c>
      <c r="AE366" s="3">
        <f t="shared" si="55"/>
        <v>172.32</v>
      </c>
      <c r="AF366" s="3">
        <v>172.5</v>
      </c>
      <c r="AG366" s="3">
        <v>170</v>
      </c>
      <c r="AH366">
        <v>176.3</v>
      </c>
    </row>
    <row r="367" spans="1:34" x14ac:dyDescent="0.3">
      <c r="A367" t="s">
        <v>34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179.3</v>
      </c>
      <c r="I367">
        <v>169.5</v>
      </c>
      <c r="J367">
        <v>152.69999999999999</v>
      </c>
      <c r="K367">
        <v>171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 s="3">
        <f t="shared" si="52"/>
        <v>175.3153846153846</v>
      </c>
      <c r="R367" s="3">
        <v>199.5</v>
      </c>
      <c r="S367">
        <v>186.2</v>
      </c>
      <c r="T367">
        <v>178.7</v>
      </c>
      <c r="U367">
        <v>185.1</v>
      </c>
      <c r="V367" s="3">
        <f t="shared" si="53"/>
        <v>183.33333333333334</v>
      </c>
      <c r="W367">
        <v>173.5</v>
      </c>
      <c r="X367" s="3">
        <f t="shared" si="54"/>
        <v>173.5</v>
      </c>
      <c r="Y367" s="3">
        <v>184.4</v>
      </c>
      <c r="Z367">
        <v>182.1</v>
      </c>
      <c r="AA367">
        <v>174.2</v>
      </c>
      <c r="AB367">
        <v>164.2</v>
      </c>
      <c r="AC367">
        <v>170.3</v>
      </c>
      <c r="AD367">
        <v>181</v>
      </c>
      <c r="AE367" s="3">
        <f t="shared" si="55"/>
        <v>174.35999999999999</v>
      </c>
      <c r="AF367" s="3">
        <v>175</v>
      </c>
      <c r="AG367" s="3">
        <v>174.1</v>
      </c>
      <c r="AH367">
        <v>177.2</v>
      </c>
    </row>
    <row r="368" spans="1:34" x14ac:dyDescent="0.3">
      <c r="A368" t="s">
        <v>30</v>
      </c>
      <c r="B368">
        <v>2023</v>
      </c>
      <c r="C368" t="s">
        <v>36</v>
      </c>
      <c r="D368">
        <v>174.3</v>
      </c>
      <c r="E368">
        <v>205.2</v>
      </c>
      <c r="F368">
        <v>173.9</v>
      </c>
      <c r="G368">
        <v>177</v>
      </c>
      <c r="H368">
        <v>183.3</v>
      </c>
      <c r="I368">
        <v>167.2</v>
      </c>
      <c r="J368">
        <v>140.9</v>
      </c>
      <c r="K368">
        <v>170.5</v>
      </c>
      <c r="L368">
        <v>119.1</v>
      </c>
      <c r="M368">
        <v>212.1</v>
      </c>
      <c r="N368">
        <v>177.6</v>
      </c>
      <c r="O368">
        <v>189.9</v>
      </c>
      <c r="P368">
        <v>174.8</v>
      </c>
      <c r="Q368" s="3">
        <f t="shared" si="52"/>
        <v>174.2923076923077</v>
      </c>
      <c r="R368" s="3">
        <v>198.4</v>
      </c>
      <c r="S368">
        <v>190</v>
      </c>
      <c r="T368">
        <v>187</v>
      </c>
      <c r="U368">
        <v>189.6</v>
      </c>
      <c r="V368" s="3">
        <f t="shared" si="53"/>
        <v>188.86666666666667</v>
      </c>
      <c r="W368" t="s">
        <v>32</v>
      </c>
      <c r="X368" s="3">
        <f t="shared" si="54"/>
        <v>173.5</v>
      </c>
      <c r="Y368" s="3">
        <v>186.6</v>
      </c>
      <c r="Z368">
        <v>181.4</v>
      </c>
      <c r="AA368">
        <v>178.6</v>
      </c>
      <c r="AB368">
        <v>169</v>
      </c>
      <c r="AC368">
        <v>172.8</v>
      </c>
      <c r="AD368">
        <v>180.7</v>
      </c>
      <c r="AE368" s="3">
        <f t="shared" si="55"/>
        <v>176.5</v>
      </c>
      <c r="AF368" s="3">
        <v>178.5</v>
      </c>
      <c r="AG368" s="3">
        <v>177.9</v>
      </c>
      <c r="AH368">
        <v>178</v>
      </c>
    </row>
    <row r="369" spans="1:34" x14ac:dyDescent="0.3">
      <c r="A369" t="s">
        <v>33</v>
      </c>
      <c r="B369">
        <v>2023</v>
      </c>
      <c r="C369" t="s">
        <v>36</v>
      </c>
      <c r="D369">
        <v>174.7</v>
      </c>
      <c r="E369">
        <v>212.2</v>
      </c>
      <c r="F369">
        <v>177.2</v>
      </c>
      <c r="G369">
        <v>177.9</v>
      </c>
      <c r="H369">
        <v>172.2</v>
      </c>
      <c r="I369">
        <v>172.1</v>
      </c>
      <c r="J369">
        <v>175.9</v>
      </c>
      <c r="K369">
        <v>172.2</v>
      </c>
      <c r="L369">
        <v>121.9</v>
      </c>
      <c r="M369">
        <v>204.8</v>
      </c>
      <c r="N369">
        <v>164.9</v>
      </c>
      <c r="O369">
        <v>196.6</v>
      </c>
      <c r="P369">
        <v>180.8</v>
      </c>
      <c r="Q369" s="3">
        <f t="shared" si="52"/>
        <v>177.1846153846154</v>
      </c>
      <c r="R369" s="3">
        <v>202.7</v>
      </c>
      <c r="S369">
        <v>180.2</v>
      </c>
      <c r="T369">
        <v>167</v>
      </c>
      <c r="U369">
        <v>178.2</v>
      </c>
      <c r="V369" s="3">
        <f t="shared" si="53"/>
        <v>175.13333333333333</v>
      </c>
      <c r="W369">
        <v>173.5</v>
      </c>
      <c r="X369" s="3">
        <f t="shared" si="54"/>
        <v>173.5</v>
      </c>
      <c r="Y369" s="3">
        <v>180.8</v>
      </c>
      <c r="Z369">
        <v>182.6</v>
      </c>
      <c r="AA369">
        <v>169.2</v>
      </c>
      <c r="AB369">
        <v>159.80000000000001</v>
      </c>
      <c r="AC369">
        <v>168.4</v>
      </c>
      <c r="AD369">
        <v>181.5</v>
      </c>
      <c r="AE369" s="3">
        <f t="shared" si="55"/>
        <v>172.3</v>
      </c>
      <c r="AF369" s="3">
        <v>172.5</v>
      </c>
      <c r="AG369" s="3">
        <v>170</v>
      </c>
      <c r="AH369">
        <v>176.3</v>
      </c>
    </row>
    <row r="370" spans="1:34" x14ac:dyDescent="0.3">
      <c r="A370" t="s">
        <v>34</v>
      </c>
      <c r="B370">
        <v>2023</v>
      </c>
      <c r="C370" t="s">
        <v>36</v>
      </c>
      <c r="D370">
        <v>174.4</v>
      </c>
      <c r="E370">
        <v>207.7</v>
      </c>
      <c r="F370">
        <v>175.2</v>
      </c>
      <c r="G370">
        <v>177.3</v>
      </c>
      <c r="H370">
        <v>179.2</v>
      </c>
      <c r="I370">
        <v>169.5</v>
      </c>
      <c r="J370">
        <v>152.80000000000001</v>
      </c>
      <c r="K370">
        <v>171.1</v>
      </c>
      <c r="L370">
        <v>120</v>
      </c>
      <c r="M370">
        <v>209.7</v>
      </c>
      <c r="N370">
        <v>172.3</v>
      </c>
      <c r="O370">
        <v>193</v>
      </c>
      <c r="P370">
        <v>177</v>
      </c>
      <c r="Q370" s="3">
        <f t="shared" si="52"/>
        <v>175.32307692307691</v>
      </c>
      <c r="R370" s="3">
        <v>199.5</v>
      </c>
      <c r="S370">
        <v>186.1</v>
      </c>
      <c r="T370">
        <v>178.7</v>
      </c>
      <c r="U370">
        <v>185.1</v>
      </c>
      <c r="V370" s="3">
        <f t="shared" si="53"/>
        <v>183.29999999999998</v>
      </c>
      <c r="W370">
        <v>173.5</v>
      </c>
      <c r="X370" s="3">
        <f t="shared" si="54"/>
        <v>173.5</v>
      </c>
      <c r="Y370" s="3">
        <v>184.4</v>
      </c>
      <c r="Z370">
        <v>181.9</v>
      </c>
      <c r="AA370">
        <v>174.2</v>
      </c>
      <c r="AB370">
        <v>164.2</v>
      </c>
      <c r="AC370">
        <v>170.3</v>
      </c>
      <c r="AD370">
        <v>181</v>
      </c>
      <c r="AE370" s="3">
        <f t="shared" si="55"/>
        <v>174.32</v>
      </c>
      <c r="AF370" s="3">
        <v>175</v>
      </c>
      <c r="AG370" s="3">
        <v>174.1</v>
      </c>
      <c r="AH370">
        <v>177.2</v>
      </c>
    </row>
    <row r="371" spans="1:34" x14ac:dyDescent="0.3">
      <c r="A371" t="s">
        <v>30</v>
      </c>
      <c r="B371">
        <v>2023</v>
      </c>
      <c r="C371" t="s">
        <v>37</v>
      </c>
      <c r="D371">
        <v>173.3</v>
      </c>
      <c r="E371">
        <v>206.9</v>
      </c>
      <c r="F371">
        <v>167.9</v>
      </c>
      <c r="G371">
        <v>178.2</v>
      </c>
      <c r="H371">
        <v>178.5</v>
      </c>
      <c r="I371">
        <v>173.7</v>
      </c>
      <c r="J371">
        <v>142.80000000000001</v>
      </c>
      <c r="K371">
        <v>172.8</v>
      </c>
      <c r="L371">
        <v>120.4</v>
      </c>
      <c r="M371">
        <v>215.5</v>
      </c>
      <c r="N371">
        <v>178.2</v>
      </c>
      <c r="O371">
        <v>190.5</v>
      </c>
      <c r="P371">
        <v>175.5</v>
      </c>
      <c r="Q371" s="3">
        <f t="shared" si="52"/>
        <v>174.93846153846152</v>
      </c>
      <c r="R371" s="3">
        <v>199.5</v>
      </c>
      <c r="S371">
        <v>190.7</v>
      </c>
      <c r="T371">
        <v>187.3</v>
      </c>
      <c r="U371">
        <v>190.2</v>
      </c>
      <c r="V371" s="3">
        <f t="shared" si="53"/>
        <v>189.4</v>
      </c>
      <c r="W371" t="s">
        <v>48</v>
      </c>
      <c r="X371" s="3">
        <f>AVERAGE(X369:X370,X372:X373)</f>
        <v>174.35000000000002</v>
      </c>
      <c r="Y371" s="3">
        <v>187.2</v>
      </c>
      <c r="Z371">
        <v>181.5</v>
      </c>
      <c r="AA371">
        <v>179.1</v>
      </c>
      <c r="AB371">
        <v>169.4</v>
      </c>
      <c r="AC371">
        <v>173.2</v>
      </c>
      <c r="AD371">
        <v>183.8</v>
      </c>
      <c r="AE371" s="3">
        <f t="shared" si="55"/>
        <v>177.4</v>
      </c>
      <c r="AF371" s="3">
        <v>179.4</v>
      </c>
      <c r="AG371" s="3">
        <v>178.9</v>
      </c>
      <c r="AH371">
        <v>178.8</v>
      </c>
    </row>
    <row r="372" spans="1:34" x14ac:dyDescent="0.3">
      <c r="A372" t="s">
        <v>33</v>
      </c>
      <c r="B372">
        <v>2023</v>
      </c>
      <c r="C372" t="s">
        <v>37</v>
      </c>
      <c r="D372">
        <v>174.8</v>
      </c>
      <c r="E372">
        <v>213.7</v>
      </c>
      <c r="F372">
        <v>172.4</v>
      </c>
      <c r="G372">
        <v>178.8</v>
      </c>
      <c r="H372">
        <v>168.7</v>
      </c>
      <c r="I372">
        <v>179.2</v>
      </c>
      <c r="J372">
        <v>179.9</v>
      </c>
      <c r="K372">
        <v>174.7</v>
      </c>
      <c r="L372">
        <v>123.1</v>
      </c>
      <c r="M372">
        <v>207.8</v>
      </c>
      <c r="N372">
        <v>165.5</v>
      </c>
      <c r="O372">
        <v>197</v>
      </c>
      <c r="P372">
        <v>182.1</v>
      </c>
      <c r="Q372" s="3">
        <f t="shared" si="52"/>
        <v>178.28461538461539</v>
      </c>
      <c r="R372" s="3">
        <v>203.5</v>
      </c>
      <c r="S372">
        <v>181</v>
      </c>
      <c r="T372">
        <v>167.7</v>
      </c>
      <c r="U372">
        <v>178.9</v>
      </c>
      <c r="V372" s="3">
        <f t="shared" si="53"/>
        <v>175.86666666666667</v>
      </c>
      <c r="W372">
        <v>175.2</v>
      </c>
      <c r="X372" s="3">
        <f t="shared" si="54"/>
        <v>175.2</v>
      </c>
      <c r="Y372" s="3">
        <v>181.5</v>
      </c>
      <c r="Z372">
        <v>182.1</v>
      </c>
      <c r="AA372">
        <v>169.6</v>
      </c>
      <c r="AB372">
        <v>160.1</v>
      </c>
      <c r="AC372">
        <v>168.8</v>
      </c>
      <c r="AD372">
        <v>184.4</v>
      </c>
      <c r="AE372" s="3">
        <f t="shared" si="55"/>
        <v>172.99999999999997</v>
      </c>
      <c r="AF372" s="3">
        <v>174.2</v>
      </c>
      <c r="AG372" s="3">
        <v>170.9</v>
      </c>
      <c r="AH372">
        <v>177.4</v>
      </c>
    </row>
    <row r="373" spans="1:34" x14ac:dyDescent="0.3">
      <c r="A373" t="s">
        <v>34</v>
      </c>
      <c r="B373">
        <v>2023</v>
      </c>
      <c r="C373" t="s">
        <v>37</v>
      </c>
      <c r="D373">
        <v>173.8</v>
      </c>
      <c r="E373">
        <v>209.3</v>
      </c>
      <c r="F373">
        <v>169.6</v>
      </c>
      <c r="G373">
        <v>178.4</v>
      </c>
      <c r="H373">
        <v>174.9</v>
      </c>
      <c r="I373">
        <v>176.3</v>
      </c>
      <c r="J373">
        <v>155.4</v>
      </c>
      <c r="K373">
        <v>173.4</v>
      </c>
      <c r="L373">
        <v>121.3</v>
      </c>
      <c r="M373">
        <v>212.9</v>
      </c>
      <c r="N373">
        <v>172.9</v>
      </c>
      <c r="O373">
        <v>193.5</v>
      </c>
      <c r="P373">
        <v>177.9</v>
      </c>
      <c r="Q373" s="3">
        <f t="shared" si="52"/>
        <v>176.12307692307695</v>
      </c>
      <c r="R373" s="3">
        <v>200.6</v>
      </c>
      <c r="S373">
        <v>186.9</v>
      </c>
      <c r="T373">
        <v>179.2</v>
      </c>
      <c r="U373">
        <v>185.7</v>
      </c>
      <c r="V373" s="3">
        <f t="shared" si="53"/>
        <v>183.93333333333331</v>
      </c>
      <c r="W373">
        <v>175.2</v>
      </c>
      <c r="X373" s="3">
        <f t="shared" si="54"/>
        <v>175.2</v>
      </c>
      <c r="Y373" s="3">
        <v>185</v>
      </c>
      <c r="Z373">
        <v>181.7</v>
      </c>
      <c r="AA373">
        <v>174.6</v>
      </c>
      <c r="AB373">
        <v>164.5</v>
      </c>
      <c r="AC373">
        <v>170.7</v>
      </c>
      <c r="AD373">
        <v>184</v>
      </c>
      <c r="AE373" s="3">
        <f t="shared" si="55"/>
        <v>175.1</v>
      </c>
      <c r="AF373" s="3">
        <v>176.4</v>
      </c>
      <c r="AG373" s="3">
        <v>175</v>
      </c>
      <c r="AH373">
        <v>178.1</v>
      </c>
    </row>
    <row r="374" spans="1:34" x14ac:dyDescent="0.3">
      <c r="A374" t="s">
        <v>30</v>
      </c>
      <c r="B374">
        <v>2023</v>
      </c>
      <c r="C374" t="s">
        <v>38</v>
      </c>
      <c r="D374">
        <v>173.2</v>
      </c>
      <c r="E374">
        <v>211.5</v>
      </c>
      <c r="F374">
        <v>171</v>
      </c>
      <c r="G374">
        <v>179.6</v>
      </c>
      <c r="H374">
        <v>173.3</v>
      </c>
      <c r="I374">
        <v>169</v>
      </c>
      <c r="J374">
        <v>148.69999999999999</v>
      </c>
      <c r="K374">
        <v>174.9</v>
      </c>
      <c r="L374">
        <v>121.9</v>
      </c>
      <c r="M374">
        <v>221</v>
      </c>
      <c r="N374">
        <v>178.7</v>
      </c>
      <c r="O374">
        <v>191.1</v>
      </c>
      <c r="P374">
        <v>176.8</v>
      </c>
      <c r="Q374" s="3">
        <f t="shared" si="52"/>
        <v>176.20769230769235</v>
      </c>
      <c r="R374" s="3">
        <v>199.9</v>
      </c>
      <c r="S374">
        <v>191.2</v>
      </c>
      <c r="T374">
        <v>187.9</v>
      </c>
      <c r="U374">
        <v>190.8</v>
      </c>
      <c r="V374" s="3">
        <f t="shared" si="53"/>
        <v>189.9666666666667</v>
      </c>
      <c r="W374" t="s">
        <v>48</v>
      </c>
      <c r="X374" s="3">
        <f>AVERAGE(X372:X373,X375:X376)</f>
        <v>175.4</v>
      </c>
      <c r="Y374" s="3">
        <v>187.8</v>
      </c>
      <c r="Z374">
        <v>182.5</v>
      </c>
      <c r="AA374">
        <v>179.8</v>
      </c>
      <c r="AB374">
        <v>169.7</v>
      </c>
      <c r="AC374">
        <v>173.8</v>
      </c>
      <c r="AD374">
        <v>184.9</v>
      </c>
      <c r="AE374" s="3">
        <f t="shared" si="55"/>
        <v>178.14</v>
      </c>
      <c r="AF374" s="3">
        <v>180.3</v>
      </c>
      <c r="AG374" s="3">
        <v>179.5</v>
      </c>
      <c r="AH374">
        <v>179.8</v>
      </c>
    </row>
    <row r="375" spans="1:34" x14ac:dyDescent="0.3">
      <c r="A375" t="s">
        <v>33</v>
      </c>
      <c r="B375">
        <v>2023</v>
      </c>
      <c r="C375" t="s">
        <v>38</v>
      </c>
      <c r="D375">
        <v>174.7</v>
      </c>
      <c r="E375">
        <v>219.4</v>
      </c>
      <c r="F375">
        <v>176.7</v>
      </c>
      <c r="G375">
        <v>179.4</v>
      </c>
      <c r="H375">
        <v>164.4</v>
      </c>
      <c r="I375">
        <v>175.8</v>
      </c>
      <c r="J375">
        <v>185</v>
      </c>
      <c r="K375">
        <v>176.9</v>
      </c>
      <c r="L375">
        <v>124.2</v>
      </c>
      <c r="M375">
        <v>211.9</v>
      </c>
      <c r="N375">
        <v>165.9</v>
      </c>
      <c r="O375">
        <v>197.7</v>
      </c>
      <c r="P375">
        <v>183.1</v>
      </c>
      <c r="Q375" s="3">
        <f t="shared" si="52"/>
        <v>179.62307692307692</v>
      </c>
      <c r="R375" s="3">
        <v>204.2</v>
      </c>
      <c r="S375">
        <v>181.3</v>
      </c>
      <c r="T375">
        <v>168.1</v>
      </c>
      <c r="U375">
        <v>179.3</v>
      </c>
      <c r="V375" s="3">
        <f t="shared" si="53"/>
        <v>176.23333333333335</v>
      </c>
      <c r="W375">
        <v>175.6</v>
      </c>
      <c r="X375" s="3">
        <f t="shared" si="54"/>
        <v>175.6</v>
      </c>
      <c r="Y375" s="3">
        <v>182.2</v>
      </c>
      <c r="Z375">
        <v>183.4</v>
      </c>
      <c r="AA375">
        <v>170.1</v>
      </c>
      <c r="AB375">
        <v>160.4</v>
      </c>
      <c r="AC375">
        <v>169.2</v>
      </c>
      <c r="AD375">
        <v>185.6</v>
      </c>
      <c r="AE375" s="3">
        <f t="shared" si="55"/>
        <v>173.73999999999998</v>
      </c>
      <c r="AF375" s="3">
        <v>174.8</v>
      </c>
      <c r="AG375" s="3">
        <v>171.6</v>
      </c>
      <c r="AH375">
        <v>178.2</v>
      </c>
    </row>
    <row r="376" spans="1:34" x14ac:dyDescent="0.3">
      <c r="A376" t="s">
        <v>34</v>
      </c>
      <c r="B376">
        <v>2023</v>
      </c>
      <c r="C376" t="s">
        <v>38</v>
      </c>
      <c r="D376">
        <v>173.7</v>
      </c>
      <c r="E376">
        <v>214.3</v>
      </c>
      <c r="F376">
        <v>173.2</v>
      </c>
      <c r="G376">
        <v>179.5</v>
      </c>
      <c r="H376">
        <v>170</v>
      </c>
      <c r="I376">
        <v>172.2</v>
      </c>
      <c r="J376">
        <v>161</v>
      </c>
      <c r="K376">
        <v>175.6</v>
      </c>
      <c r="L376">
        <v>122.7</v>
      </c>
      <c r="M376">
        <v>218</v>
      </c>
      <c r="N376">
        <v>173.4</v>
      </c>
      <c r="O376">
        <v>194.2</v>
      </c>
      <c r="P376">
        <v>179.1</v>
      </c>
      <c r="Q376" s="3">
        <f t="shared" si="52"/>
        <v>177.45384615384617</v>
      </c>
      <c r="R376" s="3">
        <v>201</v>
      </c>
      <c r="S376">
        <v>187.3</v>
      </c>
      <c r="T376">
        <v>179.7</v>
      </c>
      <c r="U376">
        <v>186.2</v>
      </c>
      <c r="V376" s="3">
        <f t="shared" si="53"/>
        <v>184.4</v>
      </c>
      <c r="W376">
        <v>175.6</v>
      </c>
      <c r="X376" s="3">
        <f t="shared" si="54"/>
        <v>175.6</v>
      </c>
      <c r="Y376" s="3">
        <v>185.7</v>
      </c>
      <c r="Z376">
        <v>182.8</v>
      </c>
      <c r="AA376">
        <v>175.2</v>
      </c>
      <c r="AB376">
        <v>164.8</v>
      </c>
      <c r="AC376">
        <v>171.2</v>
      </c>
      <c r="AD376">
        <v>185.2</v>
      </c>
      <c r="AE376" s="3">
        <f t="shared" si="55"/>
        <v>175.84</v>
      </c>
      <c r="AF376" s="3">
        <v>177.1</v>
      </c>
      <c r="AG376" s="3">
        <v>175.7</v>
      </c>
      <c r="AH376">
        <v>179.1</v>
      </c>
    </row>
  </sheetData>
  <autoFilter ref="A1:AH376" xr:uid="{B535E0B3-5887-4A7B-807A-594DACA7EA2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AE7D-43EE-40FF-9664-57F8DFC2C1BD}">
  <sheetPr filterMode="1"/>
  <dimension ref="A1:K376"/>
  <sheetViews>
    <sheetView workbookViewId="0">
      <selection activeCell="L5" sqref="L5"/>
    </sheetView>
  </sheetViews>
  <sheetFormatPr defaultRowHeight="14.4" x14ac:dyDescent="0.3"/>
  <cols>
    <col min="1" max="1" width="11.109375" bestFit="1" customWidth="1"/>
    <col min="2" max="2" width="6.88671875" bestFit="1" customWidth="1"/>
    <col min="3" max="3" width="9.77734375" bestFit="1" customWidth="1"/>
    <col min="4" max="4" width="26.21875" bestFit="1" customWidth="1"/>
    <col min="5" max="5" width="32.33203125" bestFit="1" customWidth="1"/>
    <col min="6" max="6" width="26.21875" bestFit="1" customWidth="1"/>
    <col min="7" max="8" width="13" customWidth="1"/>
    <col min="9" max="11" width="18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49</v>
      </c>
      <c r="E1" s="1" t="s">
        <v>56</v>
      </c>
      <c r="F1" s="1" t="s">
        <v>51</v>
      </c>
      <c r="G1" s="1" t="s">
        <v>55</v>
      </c>
      <c r="H1" s="1" t="s">
        <v>54</v>
      </c>
      <c r="I1" s="1" t="s">
        <v>52</v>
      </c>
      <c r="J1" s="1" t="s">
        <v>53</v>
      </c>
      <c r="K1" s="1" t="s">
        <v>28</v>
      </c>
    </row>
    <row r="2" spans="1:11" hidden="1" x14ac:dyDescent="0.3">
      <c r="A2" t="s">
        <v>30</v>
      </c>
      <c r="B2">
        <v>2013</v>
      </c>
      <c r="C2" t="s">
        <v>31</v>
      </c>
      <c r="D2" s="3">
        <v>105.5153846153846</v>
      </c>
      <c r="E2" s="3">
        <v>105.1</v>
      </c>
      <c r="F2" s="3">
        <v>106.23333333333335</v>
      </c>
      <c r="G2" s="3">
        <v>100.3</v>
      </c>
      <c r="H2" s="3">
        <v>104</v>
      </c>
      <c r="I2" s="3">
        <v>104.34</v>
      </c>
      <c r="J2" s="3">
        <v>103.8</v>
      </c>
      <c r="K2" s="3">
        <v>104</v>
      </c>
    </row>
    <row r="3" spans="1:11" hidden="1" x14ac:dyDescent="0.3">
      <c r="A3" t="s">
        <v>33</v>
      </c>
      <c r="B3">
        <v>2013</v>
      </c>
      <c r="C3" t="s">
        <v>31</v>
      </c>
      <c r="D3" s="3">
        <v>105.87692307692308</v>
      </c>
      <c r="E3" s="3">
        <v>105.2</v>
      </c>
      <c r="F3" s="3">
        <v>105.56666666666666</v>
      </c>
      <c r="G3" s="3">
        <v>100.3</v>
      </c>
      <c r="H3" s="3">
        <v>104.1</v>
      </c>
      <c r="I3" s="3">
        <v>104.11999999999998</v>
      </c>
      <c r="J3" s="3">
        <v>103.5</v>
      </c>
      <c r="K3" s="3">
        <v>103.7</v>
      </c>
    </row>
    <row r="4" spans="1:11" hidden="1" x14ac:dyDescent="0.3">
      <c r="A4" t="s">
        <v>34</v>
      </c>
      <c r="B4">
        <v>2013</v>
      </c>
      <c r="C4" t="s">
        <v>31</v>
      </c>
      <c r="D4" s="3">
        <v>105.63846153846156</v>
      </c>
      <c r="E4" s="3">
        <v>105.1</v>
      </c>
      <c r="F4" s="3">
        <v>106</v>
      </c>
      <c r="G4" s="3">
        <v>100.3</v>
      </c>
      <c r="H4" s="3">
        <v>104</v>
      </c>
      <c r="I4" s="3">
        <v>104.22</v>
      </c>
      <c r="J4" s="3">
        <v>103.6</v>
      </c>
      <c r="K4" s="3">
        <v>103.9</v>
      </c>
    </row>
    <row r="5" spans="1:11" hidden="1" x14ac:dyDescent="0.3">
      <c r="A5" t="s">
        <v>30</v>
      </c>
      <c r="B5">
        <v>2013</v>
      </c>
      <c r="C5" t="s">
        <v>35</v>
      </c>
      <c r="D5" s="3">
        <v>106.18461538461537</v>
      </c>
      <c r="E5" s="3">
        <v>105.6</v>
      </c>
      <c r="F5" s="3">
        <v>106.8</v>
      </c>
      <c r="G5" s="3">
        <v>100.4</v>
      </c>
      <c r="H5" s="3">
        <v>104.4</v>
      </c>
      <c r="I5" s="3">
        <v>104.78</v>
      </c>
      <c r="J5" s="3">
        <v>104.1</v>
      </c>
      <c r="K5" s="3">
        <v>104.4</v>
      </c>
    </row>
    <row r="6" spans="1:11" hidden="1" x14ac:dyDescent="0.3">
      <c r="A6" t="s">
        <v>33</v>
      </c>
      <c r="B6">
        <v>2013</v>
      </c>
      <c r="C6" t="s">
        <v>35</v>
      </c>
      <c r="D6" s="3">
        <v>106.96923076923078</v>
      </c>
      <c r="E6" s="3">
        <v>106</v>
      </c>
      <c r="F6" s="3">
        <v>106.16666666666667</v>
      </c>
      <c r="G6" s="3">
        <v>100.4</v>
      </c>
      <c r="H6" s="3">
        <v>104.7</v>
      </c>
      <c r="I6" s="3">
        <v>104.58</v>
      </c>
      <c r="J6" s="3">
        <v>103.7</v>
      </c>
      <c r="K6" s="3">
        <v>104.3</v>
      </c>
    </row>
    <row r="7" spans="1:11" hidden="1" x14ac:dyDescent="0.3">
      <c r="A7" t="s">
        <v>34</v>
      </c>
      <c r="B7">
        <v>2013</v>
      </c>
      <c r="C7" t="s">
        <v>35</v>
      </c>
      <c r="D7" s="3">
        <v>106.47692307692309</v>
      </c>
      <c r="E7" s="3">
        <v>105.7</v>
      </c>
      <c r="F7" s="3">
        <v>106.56666666666666</v>
      </c>
      <c r="G7" s="3">
        <v>100.4</v>
      </c>
      <c r="H7" s="3">
        <v>104.5</v>
      </c>
      <c r="I7" s="3">
        <v>104.7</v>
      </c>
      <c r="J7" s="3">
        <v>103.9</v>
      </c>
      <c r="K7" s="3">
        <v>104.4</v>
      </c>
    </row>
    <row r="8" spans="1:11" hidden="1" x14ac:dyDescent="0.3">
      <c r="A8" t="s">
        <v>30</v>
      </c>
      <c r="B8">
        <v>2013</v>
      </c>
      <c r="C8" t="s">
        <v>36</v>
      </c>
      <c r="D8" s="3">
        <v>106.32307692307693</v>
      </c>
      <c r="E8" s="3">
        <v>106.5</v>
      </c>
      <c r="F8" s="3">
        <v>107.3</v>
      </c>
      <c r="G8" s="3">
        <v>100.4</v>
      </c>
      <c r="H8" s="3">
        <v>104.7</v>
      </c>
      <c r="I8" s="3">
        <v>104.91999999999999</v>
      </c>
      <c r="J8" s="3">
        <v>104.3</v>
      </c>
      <c r="K8" s="3">
        <v>104.6</v>
      </c>
    </row>
    <row r="9" spans="1:11" hidden="1" x14ac:dyDescent="0.3">
      <c r="A9" t="s">
        <v>33</v>
      </c>
      <c r="B9">
        <v>2013</v>
      </c>
      <c r="C9" t="s">
        <v>36</v>
      </c>
      <c r="D9" s="3">
        <v>106.67692307692307</v>
      </c>
      <c r="E9" s="3">
        <v>106.8</v>
      </c>
      <c r="F9" s="3">
        <v>106.73333333333333</v>
      </c>
      <c r="G9" s="3">
        <v>100.4</v>
      </c>
      <c r="H9" s="3">
        <v>105.2</v>
      </c>
      <c r="I9" s="3">
        <v>104.97999999999999</v>
      </c>
      <c r="J9" s="3">
        <v>103.8</v>
      </c>
      <c r="K9" s="3">
        <v>104.9</v>
      </c>
    </row>
    <row r="10" spans="1:11" hidden="1" x14ac:dyDescent="0.3">
      <c r="A10" t="s">
        <v>34</v>
      </c>
      <c r="B10">
        <v>2013</v>
      </c>
      <c r="C10" t="s">
        <v>36</v>
      </c>
      <c r="D10" s="3">
        <v>106.46153846153848</v>
      </c>
      <c r="E10" s="3">
        <v>106.6</v>
      </c>
      <c r="F10" s="3">
        <v>107.06666666666666</v>
      </c>
      <c r="G10" s="3">
        <v>100.4</v>
      </c>
      <c r="H10" s="3">
        <v>104.9</v>
      </c>
      <c r="I10" s="3">
        <v>104.96</v>
      </c>
      <c r="J10" s="3">
        <v>104</v>
      </c>
      <c r="K10" s="3">
        <v>104.7</v>
      </c>
    </row>
    <row r="11" spans="1:11" hidden="1" x14ac:dyDescent="0.3">
      <c r="A11" t="s">
        <v>30</v>
      </c>
      <c r="B11">
        <v>2013</v>
      </c>
      <c r="C11" t="s">
        <v>37</v>
      </c>
      <c r="D11" s="3">
        <v>106.6</v>
      </c>
      <c r="E11" s="3">
        <v>107.1</v>
      </c>
      <c r="F11" s="3">
        <v>107.83333333333333</v>
      </c>
      <c r="G11" s="3">
        <v>100.5</v>
      </c>
      <c r="H11" s="3">
        <v>105.1</v>
      </c>
      <c r="I11" s="3">
        <v>104.84</v>
      </c>
      <c r="J11" s="3">
        <v>104.8</v>
      </c>
      <c r="K11" s="3">
        <v>104.6</v>
      </c>
    </row>
    <row r="12" spans="1:11" hidden="1" x14ac:dyDescent="0.3">
      <c r="A12" t="s">
        <v>33</v>
      </c>
      <c r="B12">
        <v>2013</v>
      </c>
      <c r="C12" t="s">
        <v>37</v>
      </c>
      <c r="D12" s="3">
        <v>107.5153846153846</v>
      </c>
      <c r="E12" s="3">
        <v>108.5</v>
      </c>
      <c r="F12" s="3">
        <v>107.33333333333333</v>
      </c>
      <c r="G12" s="3">
        <v>100.5</v>
      </c>
      <c r="H12" s="3">
        <v>105.7</v>
      </c>
      <c r="I12" s="3">
        <v>105.02000000000001</v>
      </c>
      <c r="J12" s="3">
        <v>105.2</v>
      </c>
      <c r="K12" s="3">
        <v>105.1</v>
      </c>
    </row>
    <row r="13" spans="1:11" hidden="1" x14ac:dyDescent="0.3">
      <c r="A13" t="s">
        <v>34</v>
      </c>
      <c r="B13">
        <v>2013</v>
      </c>
      <c r="C13" t="s">
        <v>37</v>
      </c>
      <c r="D13" s="3">
        <v>106.93846153846154</v>
      </c>
      <c r="E13" s="3">
        <v>107.5</v>
      </c>
      <c r="F13" s="3">
        <v>107.63333333333333</v>
      </c>
      <c r="G13" s="3">
        <v>100.5</v>
      </c>
      <c r="H13" s="3">
        <v>105.3</v>
      </c>
      <c r="I13" s="3">
        <v>104.92</v>
      </c>
      <c r="J13" s="3">
        <v>105</v>
      </c>
      <c r="K13" s="3">
        <v>104.8</v>
      </c>
    </row>
    <row r="14" spans="1:11" hidden="1" x14ac:dyDescent="0.3">
      <c r="A14" t="s">
        <v>30</v>
      </c>
      <c r="B14">
        <v>2013</v>
      </c>
      <c r="C14" t="s">
        <v>38</v>
      </c>
      <c r="D14" s="3">
        <v>107.23076923076923</v>
      </c>
      <c r="E14" s="3">
        <v>108.1</v>
      </c>
      <c r="F14" s="3">
        <v>108.43333333333332</v>
      </c>
      <c r="G14" s="3">
        <v>100.5</v>
      </c>
      <c r="H14" s="3">
        <v>105.7</v>
      </c>
      <c r="I14" s="3">
        <v>105.1</v>
      </c>
      <c r="J14" s="3">
        <v>105.5</v>
      </c>
      <c r="K14" s="3">
        <v>104.8</v>
      </c>
    </row>
    <row r="15" spans="1:11" hidden="1" x14ac:dyDescent="0.3">
      <c r="A15" t="s">
        <v>33</v>
      </c>
      <c r="B15">
        <v>2013</v>
      </c>
      <c r="C15" t="s">
        <v>38</v>
      </c>
      <c r="D15" s="3">
        <v>109.0153846153846</v>
      </c>
      <c r="E15" s="3">
        <v>109.8</v>
      </c>
      <c r="F15" s="3">
        <v>107.83333333333333</v>
      </c>
      <c r="G15" s="3">
        <v>100.5</v>
      </c>
      <c r="H15" s="3">
        <v>106.2</v>
      </c>
      <c r="I15" s="3">
        <v>105.08000000000001</v>
      </c>
      <c r="J15" s="3">
        <v>105.7</v>
      </c>
      <c r="K15" s="3">
        <v>104.9</v>
      </c>
    </row>
    <row r="16" spans="1:11" hidden="1" x14ac:dyDescent="0.3">
      <c r="A16" t="s">
        <v>34</v>
      </c>
      <c r="B16">
        <v>2013</v>
      </c>
      <c r="C16" t="s">
        <v>38</v>
      </c>
      <c r="D16" s="3">
        <v>107.86153846153844</v>
      </c>
      <c r="E16" s="3">
        <v>108.6</v>
      </c>
      <c r="F16" s="3">
        <v>108.2</v>
      </c>
      <c r="G16" s="3">
        <v>100.5</v>
      </c>
      <c r="H16" s="3">
        <v>105.9</v>
      </c>
      <c r="I16" s="3">
        <v>105.08</v>
      </c>
      <c r="J16" s="3">
        <v>105.6</v>
      </c>
      <c r="K16" s="3">
        <v>104.8</v>
      </c>
    </row>
    <row r="17" spans="1:11" hidden="1" x14ac:dyDescent="0.3">
      <c r="A17" t="s">
        <v>30</v>
      </c>
      <c r="B17">
        <v>2013</v>
      </c>
      <c r="C17" t="s">
        <v>39</v>
      </c>
      <c r="D17" s="3">
        <v>109.23076923076923</v>
      </c>
      <c r="E17" s="3">
        <v>109</v>
      </c>
      <c r="F17" s="3">
        <v>109.33333333333333</v>
      </c>
      <c r="G17" s="3">
        <v>106.6</v>
      </c>
      <c r="H17" s="3">
        <v>106.3</v>
      </c>
      <c r="I17" s="3">
        <v>105.82000000000001</v>
      </c>
      <c r="J17" s="3">
        <v>106.5</v>
      </c>
      <c r="K17" s="3">
        <v>105.5</v>
      </c>
    </row>
    <row r="18" spans="1:11" hidden="1" x14ac:dyDescent="0.3">
      <c r="A18" t="s">
        <v>33</v>
      </c>
      <c r="B18">
        <v>2013</v>
      </c>
      <c r="C18" t="s">
        <v>39</v>
      </c>
      <c r="D18" s="3">
        <v>112.66153846153847</v>
      </c>
      <c r="E18" s="3">
        <v>110.9</v>
      </c>
      <c r="F18" s="3">
        <v>108.43333333333334</v>
      </c>
      <c r="G18" s="3">
        <v>106.6</v>
      </c>
      <c r="H18" s="3">
        <v>106.5</v>
      </c>
      <c r="I18" s="3">
        <v>105.88</v>
      </c>
      <c r="J18" s="3">
        <v>108.1</v>
      </c>
      <c r="K18" s="3">
        <v>106.1</v>
      </c>
    </row>
    <row r="19" spans="1:11" hidden="1" x14ac:dyDescent="0.3">
      <c r="A19" t="s">
        <v>34</v>
      </c>
      <c r="B19">
        <v>2013</v>
      </c>
      <c r="C19" t="s">
        <v>39</v>
      </c>
      <c r="D19" s="3">
        <v>110.46153846153847</v>
      </c>
      <c r="E19" s="3">
        <v>109.5</v>
      </c>
      <c r="F19" s="3">
        <v>108.96666666666665</v>
      </c>
      <c r="G19" s="3">
        <v>106.6</v>
      </c>
      <c r="H19" s="3">
        <v>106.4</v>
      </c>
      <c r="I19" s="3">
        <v>105.83999999999999</v>
      </c>
      <c r="J19" s="3">
        <v>107.4</v>
      </c>
      <c r="K19" s="3">
        <v>105.8</v>
      </c>
    </row>
    <row r="20" spans="1:11" hidden="1" x14ac:dyDescent="0.3">
      <c r="A20" t="s">
        <v>30</v>
      </c>
      <c r="B20">
        <v>2013</v>
      </c>
      <c r="C20" t="s">
        <v>40</v>
      </c>
      <c r="D20" s="3">
        <v>111.22307692307689</v>
      </c>
      <c r="E20" s="3">
        <v>109.8</v>
      </c>
      <c r="F20" s="3">
        <v>110.10000000000001</v>
      </c>
      <c r="G20" s="3">
        <v>107.7</v>
      </c>
      <c r="H20" s="3">
        <v>106.9</v>
      </c>
      <c r="I20" s="3">
        <v>106.7</v>
      </c>
      <c r="J20" s="3">
        <v>107.8</v>
      </c>
      <c r="K20" s="3">
        <v>106.5</v>
      </c>
    </row>
    <row r="21" spans="1:11" hidden="1" x14ac:dyDescent="0.3">
      <c r="A21" t="s">
        <v>33</v>
      </c>
      <c r="B21">
        <v>2013</v>
      </c>
      <c r="C21" t="s">
        <v>40</v>
      </c>
      <c r="D21" s="3">
        <v>114.56923076923077</v>
      </c>
      <c r="E21" s="3">
        <v>111.7</v>
      </c>
      <c r="F21" s="3">
        <v>109.03333333333335</v>
      </c>
      <c r="G21" s="3">
        <v>107.7</v>
      </c>
      <c r="H21" s="3">
        <v>107.1</v>
      </c>
      <c r="I21" s="3">
        <v>106.62</v>
      </c>
      <c r="J21" s="3">
        <v>110.1</v>
      </c>
      <c r="K21" s="3">
        <v>107.3</v>
      </c>
    </row>
    <row r="22" spans="1:11" hidden="1" x14ac:dyDescent="0.3">
      <c r="A22" t="s">
        <v>34</v>
      </c>
      <c r="B22">
        <v>2013</v>
      </c>
      <c r="C22" t="s">
        <v>40</v>
      </c>
      <c r="D22" s="3">
        <v>112.41538461538461</v>
      </c>
      <c r="E22" s="3">
        <v>110.3</v>
      </c>
      <c r="F22" s="3">
        <v>109.66666666666667</v>
      </c>
      <c r="G22" s="3">
        <v>107.7</v>
      </c>
      <c r="H22" s="3">
        <v>107</v>
      </c>
      <c r="I22" s="3">
        <v>106.67999999999999</v>
      </c>
      <c r="J22" s="3">
        <v>109.1</v>
      </c>
      <c r="K22" s="3">
        <v>106.9</v>
      </c>
    </row>
    <row r="23" spans="1:11" hidden="1" x14ac:dyDescent="0.3">
      <c r="A23" t="s">
        <v>30</v>
      </c>
      <c r="B23">
        <v>2013</v>
      </c>
      <c r="C23" t="s">
        <v>41</v>
      </c>
      <c r="D23" s="3">
        <v>112.5</v>
      </c>
      <c r="E23" s="3">
        <v>110.7</v>
      </c>
      <c r="F23" s="3">
        <v>110.86666666666667</v>
      </c>
      <c r="G23" s="3">
        <v>108.9</v>
      </c>
      <c r="H23" s="3">
        <v>107.5</v>
      </c>
      <c r="I23" s="3">
        <v>107.64000000000001</v>
      </c>
      <c r="J23" s="3">
        <v>108.7</v>
      </c>
      <c r="K23" s="3">
        <v>107.5</v>
      </c>
    </row>
    <row r="24" spans="1:11" hidden="1" x14ac:dyDescent="0.3">
      <c r="A24" t="s">
        <v>33</v>
      </c>
      <c r="B24">
        <v>2013</v>
      </c>
      <c r="C24" t="s">
        <v>41</v>
      </c>
      <c r="D24" s="3">
        <v>115.85384615384616</v>
      </c>
      <c r="E24" s="3">
        <v>112.4</v>
      </c>
      <c r="F24" s="3">
        <v>109.69999999999999</v>
      </c>
      <c r="G24" s="3">
        <v>108.9</v>
      </c>
      <c r="H24" s="3">
        <v>107.6</v>
      </c>
      <c r="I24" s="3">
        <v>107.72</v>
      </c>
      <c r="J24" s="3">
        <v>110.8</v>
      </c>
      <c r="K24" s="3">
        <v>108.3</v>
      </c>
    </row>
    <row r="25" spans="1:11" hidden="1" x14ac:dyDescent="0.3">
      <c r="A25" t="s">
        <v>34</v>
      </c>
      <c r="B25">
        <v>2013</v>
      </c>
      <c r="C25" t="s">
        <v>41</v>
      </c>
      <c r="D25" s="3">
        <v>113.64615384615385</v>
      </c>
      <c r="E25" s="3">
        <v>111.2</v>
      </c>
      <c r="F25" s="3">
        <v>110.36666666666667</v>
      </c>
      <c r="G25" s="3">
        <v>108.9</v>
      </c>
      <c r="H25" s="3">
        <v>107.5</v>
      </c>
      <c r="I25" s="3">
        <v>107.67999999999999</v>
      </c>
      <c r="J25" s="3">
        <v>109.9</v>
      </c>
      <c r="K25" s="3">
        <v>107.9</v>
      </c>
    </row>
    <row r="26" spans="1:11" hidden="1" x14ac:dyDescent="0.3">
      <c r="A26" t="s">
        <v>30</v>
      </c>
      <c r="B26">
        <v>2013</v>
      </c>
      <c r="C26" t="s">
        <v>42</v>
      </c>
      <c r="D26" s="3">
        <v>114.50000000000001</v>
      </c>
      <c r="E26" s="3">
        <v>111.7</v>
      </c>
      <c r="F26" s="3">
        <v>112.2</v>
      </c>
      <c r="G26" s="3">
        <v>109.7</v>
      </c>
      <c r="H26" s="3">
        <v>108.3</v>
      </c>
      <c r="I26" s="3">
        <v>108.88</v>
      </c>
      <c r="J26" s="3">
        <v>109.8</v>
      </c>
      <c r="K26" s="3">
        <v>108.7</v>
      </c>
    </row>
    <row r="27" spans="1:11" hidden="1" x14ac:dyDescent="0.3">
      <c r="A27" t="s">
        <v>33</v>
      </c>
      <c r="B27">
        <v>2013</v>
      </c>
      <c r="C27" t="s">
        <v>42</v>
      </c>
      <c r="D27" s="3">
        <v>115.41538461538462</v>
      </c>
      <c r="E27" s="3">
        <v>112.9</v>
      </c>
      <c r="F27" s="3">
        <v>110.5</v>
      </c>
      <c r="G27" s="3">
        <v>109.7</v>
      </c>
      <c r="H27" s="3">
        <v>107.9</v>
      </c>
      <c r="I27" s="3">
        <v>108.75999999999999</v>
      </c>
      <c r="J27" s="3">
        <v>111.2</v>
      </c>
      <c r="K27" s="3">
        <v>109.4</v>
      </c>
    </row>
    <row r="28" spans="1:11" hidden="1" x14ac:dyDescent="0.3">
      <c r="A28" t="s">
        <v>34</v>
      </c>
      <c r="B28">
        <v>2013</v>
      </c>
      <c r="C28" t="s">
        <v>42</v>
      </c>
      <c r="D28" s="3">
        <v>114.74615384615383</v>
      </c>
      <c r="E28" s="3">
        <v>112</v>
      </c>
      <c r="F28" s="3">
        <v>111.5</v>
      </c>
      <c r="G28" s="3">
        <v>109.7</v>
      </c>
      <c r="H28" s="3">
        <v>108.1</v>
      </c>
      <c r="I28" s="3">
        <v>108.85999999999999</v>
      </c>
      <c r="J28" s="3">
        <v>110.6</v>
      </c>
      <c r="K28" s="3">
        <v>109</v>
      </c>
    </row>
    <row r="29" spans="1:11" hidden="1" x14ac:dyDescent="0.3">
      <c r="A29" t="s">
        <v>30</v>
      </c>
      <c r="B29">
        <v>2013</v>
      </c>
      <c r="C29" t="s">
        <v>43</v>
      </c>
      <c r="D29" s="3">
        <v>116</v>
      </c>
      <c r="E29" s="3">
        <v>112.2</v>
      </c>
      <c r="F29" s="3">
        <v>113.09999999999998</v>
      </c>
      <c r="G29" s="3">
        <v>110.5</v>
      </c>
      <c r="H29" s="3">
        <v>108.9</v>
      </c>
      <c r="I29" s="3">
        <v>109.42</v>
      </c>
      <c r="J29" s="3">
        <v>110.2</v>
      </c>
      <c r="K29" s="3">
        <v>109.1</v>
      </c>
    </row>
    <row r="30" spans="1:11" hidden="1" x14ac:dyDescent="0.3">
      <c r="A30" t="s">
        <v>33</v>
      </c>
      <c r="B30">
        <v>2013</v>
      </c>
      <c r="C30" t="s">
        <v>43</v>
      </c>
      <c r="D30" s="3">
        <v>116.7076923076923</v>
      </c>
      <c r="E30" s="3">
        <v>113.5</v>
      </c>
      <c r="F30" s="3">
        <v>111.39999999999999</v>
      </c>
      <c r="G30" s="3">
        <v>110.5</v>
      </c>
      <c r="H30" s="3">
        <v>108.2</v>
      </c>
      <c r="I30" s="3">
        <v>108.97999999999999</v>
      </c>
      <c r="J30" s="3">
        <v>111.3</v>
      </c>
      <c r="K30" s="3">
        <v>109.4</v>
      </c>
    </row>
    <row r="31" spans="1:11" hidden="1" x14ac:dyDescent="0.3">
      <c r="A31" t="s">
        <v>34</v>
      </c>
      <c r="B31">
        <v>2013</v>
      </c>
      <c r="C31" t="s">
        <v>43</v>
      </c>
      <c r="D31" s="3">
        <v>116.16923076923079</v>
      </c>
      <c r="E31" s="3">
        <v>112.5</v>
      </c>
      <c r="F31" s="3">
        <v>112.39999999999999</v>
      </c>
      <c r="G31" s="3">
        <v>110.5</v>
      </c>
      <c r="H31" s="3">
        <v>108.6</v>
      </c>
      <c r="I31" s="3">
        <v>109.23999999999998</v>
      </c>
      <c r="J31" s="3">
        <v>110.8</v>
      </c>
      <c r="K31" s="3">
        <v>109.2</v>
      </c>
    </row>
    <row r="32" spans="1:11" hidden="1" x14ac:dyDescent="0.3">
      <c r="A32" t="s">
        <v>30</v>
      </c>
      <c r="B32">
        <v>2013</v>
      </c>
      <c r="C32" t="s">
        <v>44</v>
      </c>
      <c r="D32" s="3">
        <v>118.21538461538461</v>
      </c>
      <c r="E32" s="3">
        <v>112.8</v>
      </c>
      <c r="F32" s="3">
        <v>114.03333333333335</v>
      </c>
      <c r="G32" s="3">
        <v>111.1</v>
      </c>
      <c r="H32" s="3">
        <v>109.7</v>
      </c>
      <c r="I32" s="3">
        <v>110.08</v>
      </c>
      <c r="J32" s="3">
        <v>111</v>
      </c>
      <c r="K32" s="3">
        <v>109.8</v>
      </c>
    </row>
    <row r="33" spans="1:11" hidden="1" x14ac:dyDescent="0.3">
      <c r="A33" t="s">
        <v>33</v>
      </c>
      <c r="B33">
        <v>2013</v>
      </c>
      <c r="C33" t="s">
        <v>45</v>
      </c>
      <c r="D33" s="3">
        <v>118.8153846153846</v>
      </c>
      <c r="E33" s="3">
        <v>114.1</v>
      </c>
      <c r="F33" s="3">
        <v>112.26666666666667</v>
      </c>
      <c r="G33" s="3">
        <v>111.1</v>
      </c>
      <c r="H33" s="3">
        <v>108.6</v>
      </c>
      <c r="I33" s="3">
        <v>109.35999999999999</v>
      </c>
      <c r="J33" s="3">
        <v>111.3</v>
      </c>
      <c r="K33" s="3">
        <v>109.6</v>
      </c>
    </row>
    <row r="34" spans="1:11" hidden="1" x14ac:dyDescent="0.3">
      <c r="A34" t="s">
        <v>34</v>
      </c>
      <c r="B34">
        <v>2013</v>
      </c>
      <c r="C34" t="s">
        <v>45</v>
      </c>
      <c r="D34" s="3">
        <v>118.36923076923077</v>
      </c>
      <c r="E34" s="3">
        <v>113.1</v>
      </c>
      <c r="F34" s="3">
        <v>113.30000000000001</v>
      </c>
      <c r="G34" s="3">
        <v>111.1</v>
      </c>
      <c r="H34" s="3">
        <v>109.3</v>
      </c>
      <c r="I34" s="3">
        <v>109.78</v>
      </c>
      <c r="J34" s="3">
        <v>111.2</v>
      </c>
      <c r="K34" s="3">
        <v>109.7</v>
      </c>
    </row>
    <row r="35" spans="1:11" hidden="1" x14ac:dyDescent="0.3">
      <c r="A35" t="s">
        <v>30</v>
      </c>
      <c r="B35">
        <v>2013</v>
      </c>
      <c r="C35" t="s">
        <v>46</v>
      </c>
      <c r="D35" s="3">
        <v>116.07692307692308</v>
      </c>
      <c r="E35" s="3">
        <v>113.6</v>
      </c>
      <c r="F35" s="3">
        <v>115.10000000000001</v>
      </c>
      <c r="G35" s="3">
        <v>110.7</v>
      </c>
      <c r="H35" s="3">
        <v>110.1</v>
      </c>
      <c r="I35" s="3">
        <v>110.41999999999999</v>
      </c>
      <c r="J35" s="3">
        <v>111.6</v>
      </c>
      <c r="K35" s="3">
        <v>110.1</v>
      </c>
    </row>
    <row r="36" spans="1:11" hidden="1" x14ac:dyDescent="0.3">
      <c r="A36" t="s">
        <v>33</v>
      </c>
      <c r="B36">
        <v>2013</v>
      </c>
      <c r="C36" t="s">
        <v>46</v>
      </c>
      <c r="D36" s="3">
        <v>115.72307692307693</v>
      </c>
      <c r="E36" s="3">
        <v>115</v>
      </c>
      <c r="F36" s="3">
        <v>112.93333333333334</v>
      </c>
      <c r="G36" s="3">
        <v>110.7</v>
      </c>
      <c r="H36" s="3">
        <v>109</v>
      </c>
      <c r="I36" s="3">
        <v>109.6</v>
      </c>
      <c r="J36" s="3">
        <v>111.4</v>
      </c>
      <c r="K36" s="3">
        <v>109.8</v>
      </c>
    </row>
    <row r="37" spans="1:11" hidden="1" x14ac:dyDescent="0.3">
      <c r="A37" t="s">
        <v>34</v>
      </c>
      <c r="B37">
        <v>2013</v>
      </c>
      <c r="C37" t="s">
        <v>46</v>
      </c>
      <c r="D37" s="3">
        <v>115.94615384615386</v>
      </c>
      <c r="E37" s="3">
        <v>114</v>
      </c>
      <c r="F37" s="3">
        <v>114.23333333333333</v>
      </c>
      <c r="G37" s="3">
        <v>110.7</v>
      </c>
      <c r="H37" s="3">
        <v>109.7</v>
      </c>
      <c r="I37" s="3">
        <v>110.06000000000002</v>
      </c>
      <c r="J37" s="3">
        <v>111.5</v>
      </c>
      <c r="K37" s="3">
        <v>110</v>
      </c>
    </row>
    <row r="38" spans="1:11" hidden="1" x14ac:dyDescent="0.3">
      <c r="A38" t="s">
        <v>30</v>
      </c>
      <c r="B38">
        <v>2014</v>
      </c>
      <c r="C38" t="s">
        <v>31</v>
      </c>
      <c r="D38" s="3">
        <v>114.35384615384616</v>
      </c>
      <c r="E38" s="3">
        <v>114</v>
      </c>
      <c r="F38" s="3">
        <v>115.73333333333333</v>
      </c>
      <c r="G38" s="3">
        <v>111.6</v>
      </c>
      <c r="H38" s="3">
        <v>110.6</v>
      </c>
      <c r="I38" s="3">
        <v>110.8</v>
      </c>
      <c r="J38" s="3">
        <v>111.8</v>
      </c>
      <c r="K38" s="3">
        <v>110.6</v>
      </c>
    </row>
    <row r="39" spans="1:11" hidden="1" x14ac:dyDescent="0.3">
      <c r="A39" t="s">
        <v>33</v>
      </c>
      <c r="B39">
        <v>2014</v>
      </c>
      <c r="C39" t="s">
        <v>31</v>
      </c>
      <c r="D39" s="3">
        <v>114.17692307692307</v>
      </c>
      <c r="E39" s="3">
        <v>115.7</v>
      </c>
      <c r="F39" s="3">
        <v>113.46666666666665</v>
      </c>
      <c r="G39" s="3">
        <v>111.6</v>
      </c>
      <c r="H39" s="3">
        <v>109.7</v>
      </c>
      <c r="I39" s="3">
        <v>110.3</v>
      </c>
      <c r="J39" s="3">
        <v>111.5</v>
      </c>
      <c r="K39" s="3">
        <v>110.5</v>
      </c>
    </row>
    <row r="40" spans="1:11" hidden="1" x14ac:dyDescent="0.3">
      <c r="A40" t="s">
        <v>34</v>
      </c>
      <c r="B40">
        <v>2014</v>
      </c>
      <c r="C40" t="s">
        <v>31</v>
      </c>
      <c r="D40" s="3">
        <v>114.29230769230767</v>
      </c>
      <c r="E40" s="3">
        <v>114.5</v>
      </c>
      <c r="F40" s="3">
        <v>114.8</v>
      </c>
      <c r="G40" s="3">
        <v>111.6</v>
      </c>
      <c r="H40" s="3">
        <v>110.3</v>
      </c>
      <c r="I40" s="3">
        <v>110.62</v>
      </c>
      <c r="J40" s="3">
        <v>111.6</v>
      </c>
      <c r="K40" s="3">
        <v>110.6</v>
      </c>
    </row>
    <row r="41" spans="1:11" hidden="1" x14ac:dyDescent="0.3">
      <c r="A41" t="s">
        <v>30</v>
      </c>
      <c r="B41">
        <v>2014</v>
      </c>
      <c r="C41" t="s">
        <v>35</v>
      </c>
      <c r="D41" s="3">
        <v>114.01538461538462</v>
      </c>
      <c r="E41" s="3">
        <v>114.2</v>
      </c>
      <c r="F41" s="3">
        <v>116.10000000000001</v>
      </c>
      <c r="G41" s="3">
        <v>112.5</v>
      </c>
      <c r="H41" s="3">
        <v>110.9</v>
      </c>
      <c r="I41" s="3">
        <v>111.10000000000002</v>
      </c>
      <c r="J41" s="3">
        <v>112</v>
      </c>
      <c r="K41" s="3">
        <v>110.9</v>
      </c>
    </row>
    <row r="42" spans="1:11" hidden="1" x14ac:dyDescent="0.3">
      <c r="A42" t="s">
        <v>33</v>
      </c>
      <c r="B42">
        <v>2014</v>
      </c>
      <c r="C42" t="s">
        <v>35</v>
      </c>
      <c r="D42" s="3">
        <v>113.53846153846153</v>
      </c>
      <c r="E42" s="3">
        <v>116.2</v>
      </c>
      <c r="F42" s="3">
        <v>113.89999999999999</v>
      </c>
      <c r="G42" s="3">
        <v>112.5</v>
      </c>
      <c r="H42" s="3">
        <v>110.4</v>
      </c>
      <c r="I42" s="3">
        <v>110.8</v>
      </c>
      <c r="J42" s="3">
        <v>111.6</v>
      </c>
      <c r="K42" s="3">
        <v>111</v>
      </c>
    </row>
    <row r="43" spans="1:11" hidden="1" x14ac:dyDescent="0.3">
      <c r="A43" t="s">
        <v>34</v>
      </c>
      <c r="B43">
        <v>2014</v>
      </c>
      <c r="C43" t="s">
        <v>35</v>
      </c>
      <c r="D43" s="3">
        <v>113.85384615384615</v>
      </c>
      <c r="E43" s="3">
        <v>114.7</v>
      </c>
      <c r="F43" s="3">
        <v>115.2</v>
      </c>
      <c r="G43" s="3">
        <v>112.5</v>
      </c>
      <c r="H43" s="3">
        <v>110.7</v>
      </c>
      <c r="I43" s="3">
        <v>111.02000000000001</v>
      </c>
      <c r="J43" s="3">
        <v>111.8</v>
      </c>
      <c r="K43" s="3">
        <v>110.9</v>
      </c>
    </row>
    <row r="44" spans="1:11" hidden="1" x14ac:dyDescent="0.3">
      <c r="A44" t="s">
        <v>30</v>
      </c>
      <c r="B44">
        <v>2014</v>
      </c>
      <c r="C44" t="s">
        <v>36</v>
      </c>
      <c r="D44" s="3">
        <v>114.72307692307693</v>
      </c>
      <c r="E44" s="3">
        <v>114.6</v>
      </c>
      <c r="F44" s="3">
        <v>116.53333333333335</v>
      </c>
      <c r="G44" s="3">
        <v>113.2</v>
      </c>
      <c r="H44" s="3">
        <v>111.4</v>
      </c>
      <c r="I44" s="3">
        <v>111.42</v>
      </c>
      <c r="J44" s="3">
        <v>112.4</v>
      </c>
      <c r="K44" s="3">
        <v>111.3</v>
      </c>
    </row>
    <row r="45" spans="1:11" hidden="1" x14ac:dyDescent="0.3">
      <c r="A45" t="s">
        <v>33</v>
      </c>
      <c r="B45">
        <v>2014</v>
      </c>
      <c r="C45" t="s">
        <v>36</v>
      </c>
      <c r="D45" s="3">
        <v>114.07692307692308</v>
      </c>
      <c r="E45" s="3">
        <v>116.7</v>
      </c>
      <c r="F45" s="3">
        <v>114.36666666666666</v>
      </c>
      <c r="G45" s="3">
        <v>113.2</v>
      </c>
      <c r="H45" s="3">
        <v>110.8</v>
      </c>
      <c r="I45" s="3">
        <v>111.12</v>
      </c>
      <c r="J45" s="3">
        <v>111.8</v>
      </c>
      <c r="K45" s="3">
        <v>111.4</v>
      </c>
    </row>
    <row r="46" spans="1:11" hidden="1" x14ac:dyDescent="0.3">
      <c r="A46" t="s">
        <v>34</v>
      </c>
      <c r="B46">
        <v>2014</v>
      </c>
      <c r="C46" t="s">
        <v>47</v>
      </c>
      <c r="D46" s="3">
        <v>114.48461538461537</v>
      </c>
      <c r="E46" s="3">
        <v>115.2</v>
      </c>
      <c r="F46" s="3">
        <v>115.63333333333333</v>
      </c>
      <c r="G46" s="3">
        <v>113.2</v>
      </c>
      <c r="H46" s="3">
        <v>111.2</v>
      </c>
      <c r="I46" s="3">
        <v>111.34</v>
      </c>
      <c r="J46" s="3">
        <v>112</v>
      </c>
      <c r="K46" s="3">
        <v>111.3</v>
      </c>
    </row>
    <row r="47" spans="1:11" hidden="1" x14ac:dyDescent="0.3">
      <c r="A47" t="s">
        <v>30</v>
      </c>
      <c r="B47">
        <v>2014</v>
      </c>
      <c r="C47" t="s">
        <v>37</v>
      </c>
      <c r="D47" s="3">
        <v>115.70000000000002</v>
      </c>
      <c r="E47" s="3">
        <v>115.4</v>
      </c>
      <c r="F47" s="3">
        <v>117.33333333333333</v>
      </c>
      <c r="G47" s="3">
        <v>113.9</v>
      </c>
      <c r="H47" s="3">
        <v>111.8</v>
      </c>
      <c r="I47" s="3">
        <v>111.54</v>
      </c>
      <c r="J47" s="3">
        <v>113</v>
      </c>
      <c r="K47" s="3">
        <v>111.5</v>
      </c>
    </row>
    <row r="48" spans="1:11" hidden="1" x14ac:dyDescent="0.3">
      <c r="A48" t="s">
        <v>33</v>
      </c>
      <c r="B48">
        <v>2014</v>
      </c>
      <c r="C48" t="s">
        <v>37</v>
      </c>
      <c r="D48" s="3">
        <v>115.69230769230771</v>
      </c>
      <c r="E48" s="3">
        <v>117.6</v>
      </c>
      <c r="F48" s="3">
        <v>114.83333333333333</v>
      </c>
      <c r="G48" s="3">
        <v>113.9</v>
      </c>
      <c r="H48" s="3">
        <v>111</v>
      </c>
      <c r="I48" s="3">
        <v>111.16</v>
      </c>
      <c r="J48" s="3">
        <v>112.5</v>
      </c>
      <c r="K48" s="3">
        <v>111.4</v>
      </c>
    </row>
    <row r="49" spans="1:11" hidden="1" x14ac:dyDescent="0.3">
      <c r="A49" t="s">
        <v>34</v>
      </c>
      <c r="B49">
        <v>2014</v>
      </c>
      <c r="C49" t="s">
        <v>37</v>
      </c>
      <c r="D49" s="3">
        <v>115.69999999999999</v>
      </c>
      <c r="E49" s="3">
        <v>116</v>
      </c>
      <c r="F49" s="3">
        <v>116.33333333333333</v>
      </c>
      <c r="G49" s="3">
        <v>113.9</v>
      </c>
      <c r="H49" s="3">
        <v>111.5</v>
      </c>
      <c r="I49" s="3">
        <v>111.44000000000001</v>
      </c>
      <c r="J49" s="3">
        <v>112.7</v>
      </c>
      <c r="K49" s="3">
        <v>111.5</v>
      </c>
    </row>
    <row r="50" spans="1:11" hidden="1" x14ac:dyDescent="0.3">
      <c r="A50" t="s">
        <v>30</v>
      </c>
      <c r="B50">
        <v>2014</v>
      </c>
      <c r="C50" t="s">
        <v>38</v>
      </c>
      <c r="D50" s="3">
        <v>116.45384615384614</v>
      </c>
      <c r="E50" s="3">
        <v>116.3</v>
      </c>
      <c r="F50" s="3">
        <v>118</v>
      </c>
      <c r="G50" s="3">
        <v>114.3</v>
      </c>
      <c r="H50" s="3">
        <v>112.1</v>
      </c>
      <c r="I50" s="3">
        <v>111.73999999999998</v>
      </c>
      <c r="J50" s="3">
        <v>113.1</v>
      </c>
      <c r="K50" s="3">
        <v>111.8</v>
      </c>
    </row>
    <row r="51" spans="1:11" hidden="1" x14ac:dyDescent="0.3">
      <c r="A51" t="s">
        <v>33</v>
      </c>
      <c r="B51">
        <v>2014</v>
      </c>
      <c r="C51" t="s">
        <v>38</v>
      </c>
      <c r="D51" s="3">
        <v>117.33076923076925</v>
      </c>
      <c r="E51" s="3">
        <v>118.3</v>
      </c>
      <c r="F51" s="3">
        <v>115.3</v>
      </c>
      <c r="G51" s="3">
        <v>114.3</v>
      </c>
      <c r="H51" s="3">
        <v>111.2</v>
      </c>
      <c r="I51" s="3">
        <v>111.46</v>
      </c>
      <c r="J51" s="3">
        <v>112.9</v>
      </c>
      <c r="K51" s="3">
        <v>111.7</v>
      </c>
    </row>
    <row r="52" spans="1:11" hidden="1" x14ac:dyDescent="0.3">
      <c r="A52" t="s">
        <v>34</v>
      </c>
      <c r="B52">
        <v>2014</v>
      </c>
      <c r="C52" t="s">
        <v>38</v>
      </c>
      <c r="D52" s="3">
        <v>116.80769230769235</v>
      </c>
      <c r="E52" s="3">
        <v>116.8</v>
      </c>
      <c r="F52" s="3">
        <v>116.93333333333332</v>
      </c>
      <c r="G52" s="3">
        <v>114.3</v>
      </c>
      <c r="H52" s="3">
        <v>111.8</v>
      </c>
      <c r="I52" s="3">
        <v>111.63999999999999</v>
      </c>
      <c r="J52" s="3">
        <v>113</v>
      </c>
      <c r="K52" s="3">
        <v>111.8</v>
      </c>
    </row>
    <row r="53" spans="1:11" hidden="1" x14ac:dyDescent="0.3">
      <c r="A53" t="s">
        <v>30</v>
      </c>
      <c r="B53">
        <v>2014</v>
      </c>
      <c r="C53" t="s">
        <v>39</v>
      </c>
      <c r="D53" s="3">
        <v>117.36153846153844</v>
      </c>
      <c r="E53" s="3">
        <v>117.3</v>
      </c>
      <c r="F53" s="3">
        <v>118.76666666666667</v>
      </c>
      <c r="G53" s="3">
        <v>113.9</v>
      </c>
      <c r="H53" s="3">
        <v>112.8</v>
      </c>
      <c r="I53" s="3">
        <v>112.17999999999999</v>
      </c>
      <c r="J53" s="3">
        <v>114.3</v>
      </c>
      <c r="K53" s="3">
        <v>112.3</v>
      </c>
    </row>
    <row r="54" spans="1:11" hidden="1" x14ac:dyDescent="0.3">
      <c r="A54" t="s">
        <v>33</v>
      </c>
      <c r="B54">
        <v>2014</v>
      </c>
      <c r="C54" t="s">
        <v>39</v>
      </c>
      <c r="D54" s="3">
        <v>119</v>
      </c>
      <c r="E54" s="3">
        <v>119</v>
      </c>
      <c r="F54" s="3">
        <v>115.76666666666667</v>
      </c>
      <c r="G54" s="3">
        <v>113.9</v>
      </c>
      <c r="H54" s="3">
        <v>111.4</v>
      </c>
      <c r="I54" s="3">
        <v>111.5</v>
      </c>
      <c r="J54" s="3">
        <v>115.1</v>
      </c>
      <c r="K54" s="3">
        <v>112.2</v>
      </c>
    </row>
    <row r="55" spans="1:11" hidden="1" x14ac:dyDescent="0.3">
      <c r="A55" t="s">
        <v>34</v>
      </c>
      <c r="B55">
        <v>2014</v>
      </c>
      <c r="C55" t="s">
        <v>39</v>
      </c>
      <c r="D55" s="3">
        <v>117.9769230769231</v>
      </c>
      <c r="E55" s="3">
        <v>117.8</v>
      </c>
      <c r="F55" s="3">
        <v>117.56666666666666</v>
      </c>
      <c r="G55" s="3">
        <v>113.9</v>
      </c>
      <c r="H55" s="3">
        <v>112.3</v>
      </c>
      <c r="I55" s="3">
        <v>111.9</v>
      </c>
      <c r="J55" s="3">
        <v>114.8</v>
      </c>
      <c r="K55" s="3">
        <v>112.3</v>
      </c>
    </row>
    <row r="56" spans="1:11" hidden="1" x14ac:dyDescent="0.3">
      <c r="A56" t="s">
        <v>30</v>
      </c>
      <c r="B56">
        <v>2014</v>
      </c>
      <c r="C56" t="s">
        <v>40</v>
      </c>
      <c r="D56" s="3">
        <v>120.24615384615385</v>
      </c>
      <c r="E56" s="3">
        <v>118</v>
      </c>
      <c r="F56" s="3">
        <v>119.76666666666667</v>
      </c>
      <c r="G56" s="3">
        <v>114.8</v>
      </c>
      <c r="H56" s="3">
        <v>113.4</v>
      </c>
      <c r="I56" s="3">
        <v>112.9</v>
      </c>
      <c r="J56" s="3">
        <v>115.5</v>
      </c>
      <c r="K56" s="3">
        <v>113.1</v>
      </c>
    </row>
    <row r="57" spans="1:11" hidden="1" x14ac:dyDescent="0.3">
      <c r="A57" t="s">
        <v>33</v>
      </c>
      <c r="B57">
        <v>2014</v>
      </c>
      <c r="C57" t="s">
        <v>40</v>
      </c>
      <c r="D57" s="3">
        <v>123.03846153846153</v>
      </c>
      <c r="E57" s="3">
        <v>121</v>
      </c>
      <c r="F57" s="3">
        <v>116.33333333333333</v>
      </c>
      <c r="G57" s="3">
        <v>114.8</v>
      </c>
      <c r="H57" s="3">
        <v>111.5</v>
      </c>
      <c r="I57" s="3">
        <v>112.32000000000001</v>
      </c>
      <c r="J57" s="3">
        <v>117.8</v>
      </c>
      <c r="K57" s="3">
        <v>113.5</v>
      </c>
    </row>
    <row r="58" spans="1:11" hidden="1" x14ac:dyDescent="0.3">
      <c r="A58" t="s">
        <v>34</v>
      </c>
      <c r="B58">
        <v>2014</v>
      </c>
      <c r="C58" t="s">
        <v>40</v>
      </c>
      <c r="D58" s="3">
        <v>121.25384615384615</v>
      </c>
      <c r="E58" s="3">
        <v>118.8</v>
      </c>
      <c r="F58" s="3">
        <v>118.33333333333333</v>
      </c>
      <c r="G58" s="3">
        <v>114.8</v>
      </c>
      <c r="H58" s="3">
        <v>112.7</v>
      </c>
      <c r="I58" s="3">
        <v>112.70000000000002</v>
      </c>
      <c r="J58" s="3">
        <v>116.8</v>
      </c>
      <c r="K58" s="3">
        <v>113.3</v>
      </c>
    </row>
    <row r="59" spans="1:11" hidden="1" x14ac:dyDescent="0.3">
      <c r="A59" t="s">
        <v>30</v>
      </c>
      <c r="B59">
        <v>2014</v>
      </c>
      <c r="C59" t="s">
        <v>41</v>
      </c>
      <c r="D59" s="3">
        <v>121.71538461538459</v>
      </c>
      <c r="E59" s="3">
        <v>118.8</v>
      </c>
      <c r="F59" s="3">
        <v>120.13333333333333</v>
      </c>
      <c r="G59" s="3">
        <v>115.5</v>
      </c>
      <c r="H59" s="3">
        <v>114</v>
      </c>
      <c r="I59" s="3">
        <v>113.22</v>
      </c>
      <c r="J59" s="3">
        <v>116.2</v>
      </c>
      <c r="K59" s="3">
        <v>113.5</v>
      </c>
    </row>
    <row r="60" spans="1:11" hidden="1" x14ac:dyDescent="0.3">
      <c r="A60" t="s">
        <v>33</v>
      </c>
      <c r="B60">
        <v>2014</v>
      </c>
      <c r="C60" t="s">
        <v>41</v>
      </c>
      <c r="D60" s="3">
        <v>124.38461538461539</v>
      </c>
      <c r="E60" s="3">
        <v>123</v>
      </c>
      <c r="F60" s="3">
        <v>116.86666666666667</v>
      </c>
      <c r="G60" s="3">
        <v>115.5</v>
      </c>
      <c r="H60" s="3">
        <v>112.2</v>
      </c>
      <c r="I60" s="3">
        <v>112.6</v>
      </c>
      <c r="J60" s="3">
        <v>119.2</v>
      </c>
      <c r="K60" s="3">
        <v>113.9</v>
      </c>
    </row>
    <row r="61" spans="1:11" hidden="1" x14ac:dyDescent="0.3">
      <c r="A61" t="s">
        <v>34</v>
      </c>
      <c r="B61">
        <v>2014</v>
      </c>
      <c r="C61" t="s">
        <v>41</v>
      </c>
      <c r="D61" s="3">
        <v>122.65384615384613</v>
      </c>
      <c r="E61" s="3">
        <v>119.9</v>
      </c>
      <c r="F61" s="3">
        <v>118.8</v>
      </c>
      <c r="G61" s="3">
        <v>115.5</v>
      </c>
      <c r="H61" s="3">
        <v>113.3</v>
      </c>
      <c r="I61" s="3">
        <v>112.97999999999999</v>
      </c>
      <c r="J61" s="3">
        <v>118</v>
      </c>
      <c r="K61" s="3">
        <v>113.7</v>
      </c>
    </row>
    <row r="62" spans="1:11" hidden="1" x14ac:dyDescent="0.3">
      <c r="A62" t="s">
        <v>30</v>
      </c>
      <c r="B62">
        <v>2014</v>
      </c>
      <c r="C62" t="s">
        <v>42</v>
      </c>
      <c r="D62" s="3">
        <v>121.78461538461539</v>
      </c>
      <c r="E62" s="3">
        <v>119.5</v>
      </c>
      <c r="F62" s="3">
        <v>120.73333333333333</v>
      </c>
      <c r="G62" s="3">
        <v>116.1</v>
      </c>
      <c r="H62" s="3">
        <v>114.5</v>
      </c>
      <c r="I62" s="3">
        <v>113.4</v>
      </c>
      <c r="J62" s="3">
        <v>116.6</v>
      </c>
      <c r="K62" s="3">
        <v>113.7</v>
      </c>
    </row>
    <row r="63" spans="1:11" hidden="1" x14ac:dyDescent="0.3">
      <c r="A63" t="s">
        <v>33</v>
      </c>
      <c r="B63">
        <v>2014</v>
      </c>
      <c r="C63" t="s">
        <v>42</v>
      </c>
      <c r="D63" s="3">
        <v>122.59230769230771</v>
      </c>
      <c r="E63" s="3">
        <v>124.3</v>
      </c>
      <c r="F63" s="3">
        <v>117.36666666666667</v>
      </c>
      <c r="G63" s="3">
        <v>116.1</v>
      </c>
      <c r="H63" s="3">
        <v>112.3</v>
      </c>
      <c r="I63" s="3">
        <v>112.38</v>
      </c>
      <c r="J63" s="3">
        <v>120</v>
      </c>
      <c r="K63" s="3">
        <v>113.6</v>
      </c>
    </row>
    <row r="64" spans="1:11" hidden="1" x14ac:dyDescent="0.3">
      <c r="A64" t="s">
        <v>34</v>
      </c>
      <c r="B64">
        <v>2014</v>
      </c>
      <c r="C64" t="s">
        <v>42</v>
      </c>
      <c r="D64" s="3">
        <v>122.00769230769228</v>
      </c>
      <c r="E64" s="3">
        <v>120.8</v>
      </c>
      <c r="F64" s="3">
        <v>119.33333333333333</v>
      </c>
      <c r="G64" s="3">
        <v>116.1</v>
      </c>
      <c r="H64" s="3">
        <v>113.7</v>
      </c>
      <c r="I64" s="3">
        <v>113</v>
      </c>
      <c r="J64" s="3">
        <v>118.6</v>
      </c>
      <c r="K64" s="3">
        <v>113.7</v>
      </c>
    </row>
    <row r="65" spans="1:11" hidden="1" x14ac:dyDescent="0.3">
      <c r="A65" t="s">
        <v>30</v>
      </c>
      <c r="B65">
        <v>2014</v>
      </c>
      <c r="C65" t="s">
        <v>43</v>
      </c>
      <c r="D65" s="3">
        <v>121.63076923076922</v>
      </c>
      <c r="E65" s="3">
        <v>120</v>
      </c>
      <c r="F65" s="3">
        <v>121.76666666666667</v>
      </c>
      <c r="G65" s="3">
        <v>116.7</v>
      </c>
      <c r="H65" s="3">
        <v>115.3</v>
      </c>
      <c r="I65" s="3">
        <v>113.75999999999999</v>
      </c>
      <c r="J65" s="3">
        <v>116.9</v>
      </c>
      <c r="K65" s="3">
        <v>114</v>
      </c>
    </row>
    <row r="66" spans="1:11" hidden="1" x14ac:dyDescent="0.3">
      <c r="A66" t="s">
        <v>33</v>
      </c>
      <c r="B66">
        <v>2014</v>
      </c>
      <c r="C66" t="s">
        <v>43</v>
      </c>
      <c r="D66" s="3">
        <v>122.11538461538461</v>
      </c>
      <c r="E66" s="3">
        <v>124.3</v>
      </c>
      <c r="F66" s="3">
        <v>117.8</v>
      </c>
      <c r="G66" s="3">
        <v>116.7</v>
      </c>
      <c r="H66" s="3">
        <v>112.6</v>
      </c>
      <c r="I66" s="3">
        <v>112.5</v>
      </c>
      <c r="J66" s="3">
        <v>120.2</v>
      </c>
      <c r="K66" s="3">
        <v>113.7</v>
      </c>
    </row>
    <row r="67" spans="1:11" hidden="1" x14ac:dyDescent="0.3">
      <c r="A67" t="s">
        <v>34</v>
      </c>
      <c r="B67">
        <v>2014</v>
      </c>
      <c r="C67" t="s">
        <v>43</v>
      </c>
      <c r="D67" s="3">
        <v>121.74615384615385</v>
      </c>
      <c r="E67" s="3">
        <v>121.1</v>
      </c>
      <c r="F67" s="3">
        <v>120.2</v>
      </c>
      <c r="G67" s="3">
        <v>116.7</v>
      </c>
      <c r="H67" s="3">
        <v>114.3</v>
      </c>
      <c r="I67" s="3">
        <v>113.22</v>
      </c>
      <c r="J67" s="3">
        <v>118.8</v>
      </c>
      <c r="K67" s="3">
        <v>113.9</v>
      </c>
    </row>
    <row r="68" spans="1:11" hidden="1" x14ac:dyDescent="0.3">
      <c r="A68" t="s">
        <v>30</v>
      </c>
      <c r="B68">
        <v>2014</v>
      </c>
      <c r="C68" t="s">
        <v>45</v>
      </c>
      <c r="D68" s="3">
        <v>121.69230769230769</v>
      </c>
      <c r="E68" s="3">
        <v>120.8</v>
      </c>
      <c r="F68" s="3">
        <v>122.23333333333335</v>
      </c>
      <c r="G68" s="3">
        <v>117.1</v>
      </c>
      <c r="H68" s="3">
        <v>115.9</v>
      </c>
      <c r="I68" s="3">
        <v>113.9</v>
      </c>
      <c r="J68" s="3">
        <v>117.2</v>
      </c>
      <c r="K68" s="3">
        <v>114.1</v>
      </c>
    </row>
    <row r="69" spans="1:11" hidden="1" x14ac:dyDescent="0.3">
      <c r="A69" t="s">
        <v>33</v>
      </c>
      <c r="B69">
        <v>2014</v>
      </c>
      <c r="C69" t="s">
        <v>45</v>
      </c>
      <c r="D69" s="3">
        <v>122.13846153846154</v>
      </c>
      <c r="E69" s="3">
        <v>125.8</v>
      </c>
      <c r="F69" s="3">
        <v>118.39999999999999</v>
      </c>
      <c r="G69" s="3">
        <v>117.1</v>
      </c>
      <c r="H69" s="3">
        <v>113</v>
      </c>
      <c r="I69" s="3">
        <v>112.46</v>
      </c>
      <c r="J69" s="3">
        <v>120.3</v>
      </c>
      <c r="K69" s="3">
        <v>113.4</v>
      </c>
    </row>
    <row r="70" spans="1:11" hidden="1" x14ac:dyDescent="0.3">
      <c r="A70" t="s">
        <v>34</v>
      </c>
      <c r="B70">
        <v>2014</v>
      </c>
      <c r="C70" t="s">
        <v>45</v>
      </c>
      <c r="D70" s="3">
        <v>121.78461538461539</v>
      </c>
      <c r="E70" s="3">
        <v>122.1</v>
      </c>
      <c r="F70" s="3">
        <v>120.7</v>
      </c>
      <c r="G70" s="3">
        <v>117.1</v>
      </c>
      <c r="H70" s="3">
        <v>114.8</v>
      </c>
      <c r="I70" s="3">
        <v>113.28</v>
      </c>
      <c r="J70" s="3">
        <v>119</v>
      </c>
      <c r="K70" s="3">
        <v>113.8</v>
      </c>
    </row>
    <row r="71" spans="1:11" hidden="1" x14ac:dyDescent="0.3">
      <c r="A71" t="s">
        <v>30</v>
      </c>
      <c r="B71">
        <v>2014</v>
      </c>
      <c r="C71" t="s">
        <v>46</v>
      </c>
      <c r="D71" s="3">
        <v>120.73846153846154</v>
      </c>
      <c r="E71" s="3">
        <v>121.7</v>
      </c>
      <c r="F71" s="3">
        <v>122.56666666666666</v>
      </c>
      <c r="G71" s="3">
        <v>116.5</v>
      </c>
      <c r="H71" s="3">
        <v>116.2</v>
      </c>
      <c r="I71" s="3">
        <v>113.96000000000001</v>
      </c>
      <c r="J71" s="3">
        <v>117.7</v>
      </c>
      <c r="K71" s="3">
        <v>114.2</v>
      </c>
    </row>
    <row r="72" spans="1:11" hidden="1" x14ac:dyDescent="0.3">
      <c r="A72" t="s">
        <v>33</v>
      </c>
      <c r="B72">
        <v>2014</v>
      </c>
      <c r="C72" t="s">
        <v>46</v>
      </c>
      <c r="D72" s="3">
        <v>121.32307692307691</v>
      </c>
      <c r="E72" s="3">
        <v>126.4</v>
      </c>
      <c r="F72" s="3">
        <v>118.83333333333333</v>
      </c>
      <c r="G72" s="3">
        <v>116.5</v>
      </c>
      <c r="H72" s="3">
        <v>113.2</v>
      </c>
      <c r="I72" s="3">
        <v>112.66000000000001</v>
      </c>
      <c r="J72" s="3">
        <v>120.7</v>
      </c>
      <c r="K72" s="3">
        <v>113.4</v>
      </c>
    </row>
    <row r="73" spans="1:11" hidden="1" x14ac:dyDescent="0.3">
      <c r="A73" t="s">
        <v>34</v>
      </c>
      <c r="B73">
        <v>2014</v>
      </c>
      <c r="C73" t="s">
        <v>46</v>
      </c>
      <c r="D73" s="3">
        <v>120.89999999999999</v>
      </c>
      <c r="E73" s="3">
        <v>123</v>
      </c>
      <c r="F73" s="3">
        <v>121.06666666666666</v>
      </c>
      <c r="G73" s="3">
        <v>116.5</v>
      </c>
      <c r="H73" s="3">
        <v>115.1</v>
      </c>
      <c r="I73" s="3">
        <v>113.39999999999998</v>
      </c>
      <c r="J73" s="3">
        <v>119.5</v>
      </c>
      <c r="K73" s="3">
        <v>113.8</v>
      </c>
    </row>
    <row r="74" spans="1:11" hidden="1" x14ac:dyDescent="0.3">
      <c r="A74" t="s">
        <v>30</v>
      </c>
      <c r="B74">
        <v>2015</v>
      </c>
      <c r="C74" t="s">
        <v>31</v>
      </c>
      <c r="D74" s="3">
        <v>120.62307692307692</v>
      </c>
      <c r="E74" s="3">
        <v>122.7</v>
      </c>
      <c r="F74" s="3">
        <v>123.33333333333333</v>
      </c>
      <c r="G74" s="3">
        <v>117.3</v>
      </c>
      <c r="H74" s="3">
        <v>116.6</v>
      </c>
      <c r="I74" s="3">
        <v>114.5</v>
      </c>
      <c r="J74" s="3">
        <v>118.2</v>
      </c>
      <c r="K74" s="3">
        <v>114.5</v>
      </c>
    </row>
    <row r="75" spans="1:11" hidden="1" x14ac:dyDescent="0.3">
      <c r="A75" t="s">
        <v>33</v>
      </c>
      <c r="B75">
        <v>2015</v>
      </c>
      <c r="C75" t="s">
        <v>31</v>
      </c>
      <c r="D75" s="3">
        <v>121.14615384615384</v>
      </c>
      <c r="E75" s="3">
        <v>127.4</v>
      </c>
      <c r="F75" s="3">
        <v>119.10000000000001</v>
      </c>
      <c r="G75" s="3">
        <v>117.3</v>
      </c>
      <c r="H75" s="3">
        <v>113.7</v>
      </c>
      <c r="I75" s="3">
        <v>112.9</v>
      </c>
      <c r="J75" s="3">
        <v>120.8</v>
      </c>
      <c r="K75" s="3">
        <v>113.4</v>
      </c>
    </row>
    <row r="76" spans="1:11" hidden="1" x14ac:dyDescent="0.3">
      <c r="A76" t="s">
        <v>34</v>
      </c>
      <c r="B76">
        <v>2015</v>
      </c>
      <c r="C76" t="s">
        <v>31</v>
      </c>
      <c r="D76" s="3">
        <v>120.71538461538461</v>
      </c>
      <c r="E76" s="3">
        <v>124</v>
      </c>
      <c r="F76" s="3">
        <v>121.63333333333333</v>
      </c>
      <c r="G76" s="3">
        <v>117.3</v>
      </c>
      <c r="H76" s="3">
        <v>115.5</v>
      </c>
      <c r="I76" s="3">
        <v>113.8</v>
      </c>
      <c r="J76" s="3">
        <v>119.7</v>
      </c>
      <c r="K76" s="3">
        <v>114</v>
      </c>
    </row>
    <row r="77" spans="1:11" hidden="1" x14ac:dyDescent="0.3">
      <c r="A77" t="s">
        <v>30</v>
      </c>
      <c r="B77">
        <v>2015</v>
      </c>
      <c r="C77" t="s">
        <v>35</v>
      </c>
      <c r="D77" s="3">
        <v>120.81538461538459</v>
      </c>
      <c r="E77" s="3">
        <v>124.2</v>
      </c>
      <c r="F77" s="3">
        <v>124.36666666666667</v>
      </c>
      <c r="G77" s="3">
        <v>118.1</v>
      </c>
      <c r="H77" s="3">
        <v>117.7</v>
      </c>
      <c r="I77" s="3">
        <v>115.22</v>
      </c>
      <c r="J77" s="3">
        <v>118.7</v>
      </c>
      <c r="K77" s="3">
        <v>115</v>
      </c>
    </row>
    <row r="78" spans="1:11" hidden="1" x14ac:dyDescent="0.3">
      <c r="A78" t="s">
        <v>33</v>
      </c>
      <c r="B78">
        <v>2015</v>
      </c>
      <c r="C78" t="s">
        <v>35</v>
      </c>
      <c r="D78" s="3">
        <v>120.85384615384616</v>
      </c>
      <c r="E78" s="3">
        <v>128.1</v>
      </c>
      <c r="F78" s="3">
        <v>119.46666666666665</v>
      </c>
      <c r="G78" s="3">
        <v>118.1</v>
      </c>
      <c r="H78" s="3">
        <v>114.1</v>
      </c>
      <c r="I78" s="3">
        <v>113.02000000000001</v>
      </c>
      <c r="J78" s="3">
        <v>120.4</v>
      </c>
      <c r="K78" s="3">
        <v>113.2</v>
      </c>
    </row>
    <row r="79" spans="1:11" hidden="1" x14ac:dyDescent="0.3">
      <c r="A79" t="s">
        <v>34</v>
      </c>
      <c r="B79">
        <v>2015</v>
      </c>
      <c r="C79" t="s">
        <v>35</v>
      </c>
      <c r="D79" s="3">
        <v>120.72307692307689</v>
      </c>
      <c r="E79" s="3">
        <v>125.2</v>
      </c>
      <c r="F79" s="3">
        <v>122.39999999999999</v>
      </c>
      <c r="G79" s="3">
        <v>118.1</v>
      </c>
      <c r="H79" s="3">
        <v>116.3</v>
      </c>
      <c r="I79" s="3">
        <v>114.24000000000001</v>
      </c>
      <c r="J79" s="3">
        <v>119.7</v>
      </c>
      <c r="K79" s="3">
        <v>114.1</v>
      </c>
    </row>
    <row r="80" spans="1:11" hidden="1" x14ac:dyDescent="0.3">
      <c r="A80" t="s">
        <v>30</v>
      </c>
      <c r="B80">
        <v>2015</v>
      </c>
      <c r="C80" t="s">
        <v>36</v>
      </c>
      <c r="D80" s="3">
        <v>120.88461538461539</v>
      </c>
      <c r="E80" s="3">
        <v>124.7</v>
      </c>
      <c r="F80" s="3">
        <v>124.8</v>
      </c>
      <c r="G80" s="3">
        <v>118.6</v>
      </c>
      <c r="H80" s="3">
        <v>118.2</v>
      </c>
      <c r="I80" s="3">
        <v>115.73999999999998</v>
      </c>
      <c r="J80" s="3">
        <v>119.4</v>
      </c>
      <c r="K80" s="3">
        <v>115.5</v>
      </c>
    </row>
    <row r="81" spans="1:11" hidden="1" x14ac:dyDescent="0.3">
      <c r="A81" t="s">
        <v>33</v>
      </c>
      <c r="B81">
        <v>2015</v>
      </c>
      <c r="C81" t="s">
        <v>36</v>
      </c>
      <c r="D81" s="3">
        <v>120.61538461538463</v>
      </c>
      <c r="E81" s="3">
        <v>128.80000000000001</v>
      </c>
      <c r="F81" s="3">
        <v>119.83333333333333</v>
      </c>
      <c r="G81" s="3">
        <v>118.6</v>
      </c>
      <c r="H81" s="3">
        <v>114.3</v>
      </c>
      <c r="I81" s="3">
        <v>113.5</v>
      </c>
      <c r="J81" s="3">
        <v>120.6</v>
      </c>
      <c r="K81" s="3">
        <v>113.8</v>
      </c>
    </row>
    <row r="82" spans="1:11" hidden="1" x14ac:dyDescent="0.3">
      <c r="A82" t="s">
        <v>34</v>
      </c>
      <c r="B82">
        <v>2015</v>
      </c>
      <c r="C82" t="s">
        <v>36</v>
      </c>
      <c r="D82" s="3">
        <v>120.69999999999999</v>
      </c>
      <c r="E82" s="3">
        <v>125.8</v>
      </c>
      <c r="F82" s="3">
        <v>122.8</v>
      </c>
      <c r="G82" s="3">
        <v>118.6</v>
      </c>
      <c r="H82" s="3">
        <v>116.7</v>
      </c>
      <c r="I82" s="3">
        <v>114.75999999999999</v>
      </c>
      <c r="J82" s="3">
        <v>120.1</v>
      </c>
      <c r="K82" s="3">
        <v>114.7</v>
      </c>
    </row>
    <row r="83" spans="1:11" hidden="1" x14ac:dyDescent="0.3">
      <c r="A83" t="s">
        <v>30</v>
      </c>
      <c r="B83">
        <v>2015</v>
      </c>
      <c r="C83" t="s">
        <v>37</v>
      </c>
      <c r="D83" s="3">
        <v>121.32307692307693</v>
      </c>
      <c r="E83" s="3">
        <v>125.7</v>
      </c>
      <c r="F83" s="3">
        <v>125.23333333333333</v>
      </c>
      <c r="G83" s="3">
        <v>119.2</v>
      </c>
      <c r="H83" s="3">
        <v>118.6</v>
      </c>
      <c r="I83" s="3">
        <v>116.35999999999999</v>
      </c>
      <c r="J83" s="3">
        <v>119.9</v>
      </c>
      <c r="K83" s="3">
        <v>116</v>
      </c>
    </row>
    <row r="84" spans="1:11" hidden="1" x14ac:dyDescent="0.3">
      <c r="A84" t="s">
        <v>33</v>
      </c>
      <c r="B84">
        <v>2015</v>
      </c>
      <c r="C84" t="s">
        <v>37</v>
      </c>
      <c r="D84" s="3">
        <v>121.23846153846154</v>
      </c>
      <c r="E84" s="3">
        <v>130.1</v>
      </c>
      <c r="F84" s="3">
        <v>120.2</v>
      </c>
      <c r="G84" s="3">
        <v>119.2</v>
      </c>
      <c r="H84" s="3">
        <v>114.6</v>
      </c>
      <c r="I84" s="3">
        <v>113.78</v>
      </c>
      <c r="J84" s="3">
        <v>121.7</v>
      </c>
      <c r="K84" s="3">
        <v>114.2</v>
      </c>
    </row>
    <row r="85" spans="1:11" hidden="1" x14ac:dyDescent="0.3">
      <c r="A85" t="s">
        <v>34</v>
      </c>
      <c r="B85">
        <v>2015</v>
      </c>
      <c r="C85" t="s">
        <v>37</v>
      </c>
      <c r="D85" s="3">
        <v>121.20769230769231</v>
      </c>
      <c r="E85" s="3">
        <v>126.9</v>
      </c>
      <c r="F85" s="3">
        <v>123.2</v>
      </c>
      <c r="G85" s="3">
        <v>119.2</v>
      </c>
      <c r="H85" s="3">
        <v>117.1</v>
      </c>
      <c r="I85" s="3">
        <v>115.22</v>
      </c>
      <c r="J85" s="3">
        <v>121</v>
      </c>
      <c r="K85" s="3">
        <v>115.1</v>
      </c>
    </row>
    <row r="86" spans="1:11" hidden="1" x14ac:dyDescent="0.3">
      <c r="A86" t="s">
        <v>30</v>
      </c>
      <c r="B86">
        <v>2015</v>
      </c>
      <c r="C86" t="s">
        <v>38</v>
      </c>
      <c r="D86" s="3">
        <v>122.13076923076923</v>
      </c>
      <c r="E86" s="3">
        <v>126.7</v>
      </c>
      <c r="F86" s="3">
        <v>126.06666666666666</v>
      </c>
      <c r="G86" s="3">
        <v>119.6</v>
      </c>
      <c r="H86" s="3">
        <v>119.4</v>
      </c>
      <c r="I86" s="3">
        <v>117.13999999999999</v>
      </c>
      <c r="J86" s="3">
        <v>120.5</v>
      </c>
      <c r="K86" s="3">
        <v>116.9</v>
      </c>
    </row>
    <row r="87" spans="1:11" hidden="1" x14ac:dyDescent="0.3">
      <c r="A87" t="s">
        <v>33</v>
      </c>
      <c r="B87">
        <v>2015</v>
      </c>
      <c r="C87" t="s">
        <v>38</v>
      </c>
      <c r="D87" s="3">
        <v>122.9923076923077</v>
      </c>
      <c r="E87" s="3">
        <v>131.30000000000001</v>
      </c>
      <c r="F87" s="3">
        <v>120.46666666666665</v>
      </c>
      <c r="G87" s="3">
        <v>119.6</v>
      </c>
      <c r="H87" s="3">
        <v>114.9</v>
      </c>
      <c r="I87" s="3">
        <v>114.56000000000002</v>
      </c>
      <c r="J87" s="3">
        <v>122</v>
      </c>
      <c r="K87" s="3">
        <v>115.2</v>
      </c>
    </row>
    <row r="88" spans="1:11" hidden="1" x14ac:dyDescent="0.3">
      <c r="A88" t="s">
        <v>34</v>
      </c>
      <c r="B88">
        <v>2015</v>
      </c>
      <c r="C88" t="s">
        <v>38</v>
      </c>
      <c r="D88" s="3">
        <v>122.33846153846154</v>
      </c>
      <c r="E88" s="3">
        <v>127.9</v>
      </c>
      <c r="F88" s="3">
        <v>123.8</v>
      </c>
      <c r="G88" s="3">
        <v>119.6</v>
      </c>
      <c r="H88" s="3">
        <v>117.7</v>
      </c>
      <c r="I88" s="3">
        <v>116</v>
      </c>
      <c r="J88" s="3">
        <v>121.4</v>
      </c>
      <c r="K88" s="3">
        <v>116.1</v>
      </c>
    </row>
    <row r="89" spans="1:11" hidden="1" x14ac:dyDescent="0.3">
      <c r="A89" t="s">
        <v>30</v>
      </c>
      <c r="B89">
        <v>2015</v>
      </c>
      <c r="C89" t="s">
        <v>39</v>
      </c>
      <c r="D89" s="3">
        <v>124.45384615384614</v>
      </c>
      <c r="E89" s="3">
        <v>128.19999999999999</v>
      </c>
      <c r="F89" s="3">
        <v>127.16666666666667</v>
      </c>
      <c r="G89" s="3">
        <v>119</v>
      </c>
      <c r="H89" s="3">
        <v>120.4</v>
      </c>
      <c r="I89" s="3">
        <v>118.1</v>
      </c>
      <c r="J89" s="3">
        <v>122</v>
      </c>
      <c r="K89" s="3">
        <v>117.9</v>
      </c>
    </row>
    <row r="90" spans="1:11" hidden="1" x14ac:dyDescent="0.3">
      <c r="A90" t="s">
        <v>33</v>
      </c>
      <c r="B90">
        <v>2015</v>
      </c>
      <c r="C90" t="s">
        <v>39</v>
      </c>
      <c r="D90" s="3">
        <v>125.89230769230768</v>
      </c>
      <c r="E90" s="3">
        <v>132.1</v>
      </c>
      <c r="F90" s="3">
        <v>121.03333333333335</v>
      </c>
      <c r="G90" s="3">
        <v>119</v>
      </c>
      <c r="H90" s="3">
        <v>115.4</v>
      </c>
      <c r="I90" s="3">
        <v>114.94000000000001</v>
      </c>
      <c r="J90" s="3">
        <v>123.8</v>
      </c>
      <c r="K90" s="3">
        <v>116</v>
      </c>
    </row>
    <row r="91" spans="1:11" hidden="1" x14ac:dyDescent="0.3">
      <c r="A91" t="s">
        <v>34</v>
      </c>
      <c r="B91">
        <v>2015</v>
      </c>
      <c r="C91" t="s">
        <v>39</v>
      </c>
      <c r="D91" s="3">
        <v>124.88461538461539</v>
      </c>
      <c r="E91" s="3">
        <v>129.19999999999999</v>
      </c>
      <c r="F91" s="3">
        <v>124.7</v>
      </c>
      <c r="G91" s="3">
        <v>119</v>
      </c>
      <c r="H91" s="3">
        <v>118.5</v>
      </c>
      <c r="I91" s="3">
        <v>116.69999999999997</v>
      </c>
      <c r="J91" s="3">
        <v>123.1</v>
      </c>
      <c r="K91" s="3">
        <v>117</v>
      </c>
    </row>
    <row r="92" spans="1:11" hidden="1" x14ac:dyDescent="0.3">
      <c r="A92" t="s">
        <v>30</v>
      </c>
      <c r="B92">
        <v>2015</v>
      </c>
      <c r="C92" t="s">
        <v>40</v>
      </c>
      <c r="D92" s="3">
        <v>125.02307692307691</v>
      </c>
      <c r="E92" s="3">
        <v>129.4</v>
      </c>
      <c r="F92" s="3">
        <v>127.53333333333335</v>
      </c>
      <c r="G92" s="3">
        <v>119.9</v>
      </c>
      <c r="H92" s="3">
        <v>120.8</v>
      </c>
      <c r="I92" s="3">
        <v>118.16000000000001</v>
      </c>
      <c r="J92" s="3">
        <v>122.9</v>
      </c>
      <c r="K92" s="3">
        <v>118.1</v>
      </c>
    </row>
    <row r="93" spans="1:11" hidden="1" x14ac:dyDescent="0.3">
      <c r="A93" t="s">
        <v>33</v>
      </c>
      <c r="B93">
        <v>2015</v>
      </c>
      <c r="C93" t="s">
        <v>40</v>
      </c>
      <c r="D93" s="3">
        <v>126.37692307692306</v>
      </c>
      <c r="E93" s="3">
        <v>133.1</v>
      </c>
      <c r="F93" s="3">
        <v>121.36666666666667</v>
      </c>
      <c r="G93" s="3">
        <v>119.9</v>
      </c>
      <c r="H93" s="3">
        <v>116</v>
      </c>
      <c r="I93" s="3">
        <v>114.92</v>
      </c>
      <c r="J93" s="3">
        <v>125.4</v>
      </c>
      <c r="K93" s="3">
        <v>116.3</v>
      </c>
    </row>
    <row r="94" spans="1:11" hidden="1" x14ac:dyDescent="0.3">
      <c r="A94" t="s">
        <v>34</v>
      </c>
      <c r="B94">
        <v>2015</v>
      </c>
      <c r="C94" t="s">
        <v>40</v>
      </c>
      <c r="D94" s="3">
        <v>125.43076923076924</v>
      </c>
      <c r="E94" s="3">
        <v>130.4</v>
      </c>
      <c r="F94" s="3">
        <v>125.03333333333335</v>
      </c>
      <c r="G94" s="3">
        <v>119.9</v>
      </c>
      <c r="H94" s="3">
        <v>119</v>
      </c>
      <c r="I94" s="3">
        <v>116.71999999999998</v>
      </c>
      <c r="J94" s="3">
        <v>124.4</v>
      </c>
      <c r="K94" s="3">
        <v>117.2</v>
      </c>
    </row>
    <row r="95" spans="1:11" hidden="1" x14ac:dyDescent="0.3">
      <c r="A95" t="s">
        <v>30</v>
      </c>
      <c r="B95">
        <v>2015</v>
      </c>
      <c r="C95" t="s">
        <v>41</v>
      </c>
      <c r="D95" s="3">
        <v>126.66153846153846</v>
      </c>
      <c r="E95" s="3">
        <v>130.1</v>
      </c>
      <c r="F95" s="3">
        <v>128.26666666666668</v>
      </c>
      <c r="G95" s="3">
        <v>120.9</v>
      </c>
      <c r="H95" s="3">
        <v>121.1</v>
      </c>
      <c r="I95" s="3">
        <v>118.42</v>
      </c>
      <c r="J95" s="3">
        <v>123.6</v>
      </c>
      <c r="K95" s="3">
        <v>118.2</v>
      </c>
    </row>
    <row r="96" spans="1:11" hidden="1" x14ac:dyDescent="0.3">
      <c r="A96" t="s">
        <v>33</v>
      </c>
      <c r="B96">
        <v>2015</v>
      </c>
      <c r="C96" t="s">
        <v>41</v>
      </c>
      <c r="D96" s="3">
        <v>127.6076923076923</v>
      </c>
      <c r="E96" s="3">
        <v>134.19999999999999</v>
      </c>
      <c r="F96" s="3">
        <v>121.60000000000001</v>
      </c>
      <c r="G96" s="3">
        <v>120.9</v>
      </c>
      <c r="H96" s="3">
        <v>116.6</v>
      </c>
      <c r="I96" s="3">
        <v>114.88000000000002</v>
      </c>
      <c r="J96" s="3">
        <v>126.2</v>
      </c>
      <c r="K96" s="3">
        <v>116.2</v>
      </c>
    </row>
    <row r="97" spans="1:11" hidden="1" x14ac:dyDescent="0.3">
      <c r="A97" t="s">
        <v>34</v>
      </c>
      <c r="B97">
        <v>2015</v>
      </c>
      <c r="C97" t="s">
        <v>41</v>
      </c>
      <c r="D97" s="3">
        <v>126.89230769230768</v>
      </c>
      <c r="E97" s="3">
        <v>131.19999999999999</v>
      </c>
      <c r="F97" s="3">
        <v>125.56666666666668</v>
      </c>
      <c r="G97" s="3">
        <v>120.9</v>
      </c>
      <c r="H97" s="3">
        <v>119.4</v>
      </c>
      <c r="I97" s="3">
        <v>116.88</v>
      </c>
      <c r="J97" s="3">
        <v>125.1</v>
      </c>
      <c r="K97" s="3">
        <v>117.2</v>
      </c>
    </row>
    <row r="98" spans="1:11" hidden="1" x14ac:dyDescent="0.3">
      <c r="A98" t="s">
        <v>30</v>
      </c>
      <c r="B98">
        <v>2015</v>
      </c>
      <c r="C98" t="s">
        <v>42</v>
      </c>
      <c r="D98" s="3">
        <v>127.50769230769232</v>
      </c>
      <c r="E98" s="3">
        <v>131</v>
      </c>
      <c r="F98" s="3">
        <v>129.03333333333333</v>
      </c>
      <c r="G98" s="3">
        <v>121.6</v>
      </c>
      <c r="H98" s="3">
        <v>121.4</v>
      </c>
      <c r="I98" s="3">
        <v>119.06000000000002</v>
      </c>
      <c r="J98" s="3">
        <v>124.5</v>
      </c>
      <c r="K98" s="3">
        <v>118.8</v>
      </c>
    </row>
    <row r="99" spans="1:11" hidden="1" x14ac:dyDescent="0.3">
      <c r="A99" t="s">
        <v>33</v>
      </c>
      <c r="B99">
        <v>2015</v>
      </c>
      <c r="C99" t="s">
        <v>42</v>
      </c>
      <c r="D99" s="3">
        <v>128.06153846153845</v>
      </c>
      <c r="E99" s="3">
        <v>134.69999999999999</v>
      </c>
      <c r="F99" s="3">
        <v>121.93333333333334</v>
      </c>
      <c r="G99" s="3">
        <v>121.6</v>
      </c>
      <c r="H99" s="3">
        <v>117.1</v>
      </c>
      <c r="I99" s="3">
        <v>114.96000000000001</v>
      </c>
      <c r="J99" s="3">
        <v>126.5</v>
      </c>
      <c r="K99" s="3">
        <v>116.2</v>
      </c>
    </row>
    <row r="100" spans="1:11" hidden="1" x14ac:dyDescent="0.3">
      <c r="A100" t="s">
        <v>34</v>
      </c>
      <c r="B100">
        <v>2015</v>
      </c>
      <c r="C100" t="s">
        <v>42</v>
      </c>
      <c r="D100" s="3">
        <v>127.56153846153848</v>
      </c>
      <c r="E100" s="3">
        <v>132</v>
      </c>
      <c r="F100" s="3">
        <v>126.16666666666667</v>
      </c>
      <c r="G100" s="3">
        <v>121.6</v>
      </c>
      <c r="H100" s="3">
        <v>119.8</v>
      </c>
      <c r="I100" s="3">
        <v>117.2</v>
      </c>
      <c r="J100" s="3">
        <v>125.7</v>
      </c>
      <c r="K100" s="3">
        <v>117.5</v>
      </c>
    </row>
    <row r="101" spans="1:11" hidden="1" x14ac:dyDescent="0.3">
      <c r="A101" t="s">
        <v>30</v>
      </c>
      <c r="B101">
        <v>2015</v>
      </c>
      <c r="C101" t="s">
        <v>43</v>
      </c>
      <c r="D101" s="3">
        <v>128.8153846153846</v>
      </c>
      <c r="E101" s="3">
        <v>131.5</v>
      </c>
      <c r="F101" s="3">
        <v>129.66666666666666</v>
      </c>
      <c r="G101" s="3">
        <v>122.4</v>
      </c>
      <c r="H101" s="3">
        <v>122</v>
      </c>
      <c r="I101" s="3">
        <v>119.52000000000001</v>
      </c>
      <c r="J101" s="3">
        <v>125.1</v>
      </c>
      <c r="K101" s="3">
        <v>119.2</v>
      </c>
    </row>
    <row r="102" spans="1:11" hidden="1" x14ac:dyDescent="0.3">
      <c r="A102" t="s">
        <v>33</v>
      </c>
      <c r="B102">
        <v>2015</v>
      </c>
      <c r="C102" t="s">
        <v>43</v>
      </c>
      <c r="D102" s="3">
        <v>130.21538461538464</v>
      </c>
      <c r="E102" s="3">
        <v>135.30000000000001</v>
      </c>
      <c r="F102" s="3">
        <v>122.26666666666665</v>
      </c>
      <c r="G102" s="3">
        <v>122.4</v>
      </c>
      <c r="H102" s="3">
        <v>117.7</v>
      </c>
      <c r="I102" s="3">
        <v>115.22</v>
      </c>
      <c r="J102" s="3">
        <v>126.5</v>
      </c>
      <c r="K102" s="3">
        <v>116.5</v>
      </c>
    </row>
    <row r="103" spans="1:11" hidden="1" x14ac:dyDescent="0.3">
      <c r="A103" t="s">
        <v>34</v>
      </c>
      <c r="B103">
        <v>2015</v>
      </c>
      <c r="C103" t="s">
        <v>43</v>
      </c>
      <c r="D103" s="3">
        <v>129.15384615384613</v>
      </c>
      <c r="E103" s="3">
        <v>132.5</v>
      </c>
      <c r="F103" s="3">
        <v>126.7</v>
      </c>
      <c r="G103" s="3">
        <v>122.4</v>
      </c>
      <c r="H103" s="3">
        <v>120.4</v>
      </c>
      <c r="I103" s="3">
        <v>117.56000000000002</v>
      </c>
      <c r="J103" s="3">
        <v>125.9</v>
      </c>
      <c r="K103" s="3">
        <v>117.9</v>
      </c>
    </row>
    <row r="104" spans="1:11" hidden="1" x14ac:dyDescent="0.3">
      <c r="A104" t="s">
        <v>30</v>
      </c>
      <c r="B104">
        <v>2015</v>
      </c>
      <c r="C104" t="s">
        <v>45</v>
      </c>
      <c r="D104" s="3">
        <v>129.71538461538461</v>
      </c>
      <c r="E104" s="3">
        <v>132.19999999999999</v>
      </c>
      <c r="F104" s="3">
        <v>130.6</v>
      </c>
      <c r="G104" s="3">
        <v>122.9</v>
      </c>
      <c r="H104" s="3">
        <v>122.6</v>
      </c>
      <c r="I104" s="3">
        <v>120.06000000000002</v>
      </c>
      <c r="J104" s="3">
        <v>125.8</v>
      </c>
      <c r="K104" s="3">
        <v>119.6</v>
      </c>
    </row>
    <row r="105" spans="1:11" hidden="1" x14ac:dyDescent="0.3">
      <c r="A105" t="s">
        <v>33</v>
      </c>
      <c r="B105">
        <v>2015</v>
      </c>
      <c r="C105" t="s">
        <v>45</v>
      </c>
      <c r="D105" s="3">
        <v>131.42307692307691</v>
      </c>
      <c r="E105" s="3">
        <v>137.6</v>
      </c>
      <c r="F105" s="3">
        <v>122.83333333333333</v>
      </c>
      <c r="G105" s="3">
        <v>122.9</v>
      </c>
      <c r="H105" s="3">
        <v>118.1</v>
      </c>
      <c r="I105" s="3">
        <v>115.31999999999998</v>
      </c>
      <c r="J105" s="3">
        <v>126.6</v>
      </c>
      <c r="K105" s="3">
        <v>116.6</v>
      </c>
    </row>
    <row r="106" spans="1:11" hidden="1" x14ac:dyDescent="0.3">
      <c r="A106" t="s">
        <v>34</v>
      </c>
      <c r="B106">
        <v>2015</v>
      </c>
      <c r="C106" t="s">
        <v>45</v>
      </c>
      <c r="D106" s="3">
        <v>130.16153846153844</v>
      </c>
      <c r="E106" s="3">
        <v>133.6</v>
      </c>
      <c r="F106" s="3">
        <v>127.46666666666665</v>
      </c>
      <c r="G106" s="3">
        <v>122.9</v>
      </c>
      <c r="H106" s="3">
        <v>120.9</v>
      </c>
      <c r="I106" s="3">
        <v>117.9</v>
      </c>
      <c r="J106" s="3">
        <v>126.3</v>
      </c>
      <c r="K106" s="3">
        <v>118.1</v>
      </c>
    </row>
    <row r="107" spans="1:11" hidden="1" x14ac:dyDescent="0.3">
      <c r="A107" t="s">
        <v>30</v>
      </c>
      <c r="B107">
        <v>2015</v>
      </c>
      <c r="C107" t="s">
        <v>46</v>
      </c>
      <c r="D107" s="3">
        <v>129.40769230769232</v>
      </c>
      <c r="E107" s="3">
        <v>133.1</v>
      </c>
      <c r="F107" s="3">
        <v>130.96666666666667</v>
      </c>
      <c r="G107" s="3">
        <v>122.4</v>
      </c>
      <c r="H107" s="3">
        <v>123.1</v>
      </c>
      <c r="I107" s="3">
        <v>120.28</v>
      </c>
      <c r="J107" s="3">
        <v>125.6</v>
      </c>
      <c r="K107" s="3">
        <v>119.8</v>
      </c>
    </row>
    <row r="108" spans="1:11" hidden="1" x14ac:dyDescent="0.3">
      <c r="A108" t="s">
        <v>33</v>
      </c>
      <c r="B108">
        <v>2015</v>
      </c>
      <c r="C108" t="s">
        <v>46</v>
      </c>
      <c r="D108" s="3">
        <v>130.67692307692306</v>
      </c>
      <c r="E108" s="3">
        <v>138.19999999999999</v>
      </c>
      <c r="F108" s="3">
        <v>123.13333333333333</v>
      </c>
      <c r="G108" s="3">
        <v>122.4</v>
      </c>
      <c r="H108" s="3">
        <v>118.6</v>
      </c>
      <c r="I108" s="3">
        <v>115.52000000000001</v>
      </c>
      <c r="J108" s="3">
        <v>126.6</v>
      </c>
      <c r="K108" s="3">
        <v>116.7</v>
      </c>
    </row>
    <row r="109" spans="1:11" hidden="1" x14ac:dyDescent="0.3">
      <c r="A109" t="s">
        <v>34</v>
      </c>
      <c r="B109">
        <v>2015</v>
      </c>
      <c r="C109" t="s">
        <v>46</v>
      </c>
      <c r="D109" s="3">
        <v>129.70000000000002</v>
      </c>
      <c r="E109" s="3">
        <v>134.5</v>
      </c>
      <c r="F109" s="3">
        <v>127.83333333333333</v>
      </c>
      <c r="G109" s="3">
        <v>122.4</v>
      </c>
      <c r="H109" s="3">
        <v>121.4</v>
      </c>
      <c r="I109" s="3">
        <v>118.08000000000001</v>
      </c>
      <c r="J109" s="3">
        <v>126.2</v>
      </c>
      <c r="K109" s="3">
        <v>118.3</v>
      </c>
    </row>
    <row r="110" spans="1:11" hidden="1" x14ac:dyDescent="0.3">
      <c r="A110" t="s">
        <v>30</v>
      </c>
      <c r="B110">
        <v>2016</v>
      </c>
      <c r="C110" t="s">
        <v>31</v>
      </c>
      <c r="D110" s="3">
        <v>130.00769230769231</v>
      </c>
      <c r="E110" s="3">
        <v>133.6</v>
      </c>
      <c r="F110" s="3">
        <v>131.56666666666669</v>
      </c>
      <c r="G110" s="3">
        <v>123.4</v>
      </c>
      <c r="H110" s="3">
        <v>123.7</v>
      </c>
      <c r="I110" s="3">
        <v>120.53999999999999</v>
      </c>
      <c r="J110" s="3">
        <v>126.2</v>
      </c>
      <c r="K110" s="3">
        <v>120.1</v>
      </c>
    </row>
    <row r="111" spans="1:11" hidden="1" x14ac:dyDescent="0.3">
      <c r="A111" t="s">
        <v>33</v>
      </c>
      <c r="B111">
        <v>2016</v>
      </c>
      <c r="C111" t="s">
        <v>31</v>
      </c>
      <c r="D111" s="3">
        <v>130.87692307692308</v>
      </c>
      <c r="E111" s="3">
        <v>139.5</v>
      </c>
      <c r="F111" s="3">
        <v>123.5</v>
      </c>
      <c r="G111" s="3">
        <v>123.4</v>
      </c>
      <c r="H111" s="3">
        <v>119.1</v>
      </c>
      <c r="I111" s="3">
        <v>115.97999999999999</v>
      </c>
      <c r="J111" s="3">
        <v>126.4</v>
      </c>
      <c r="K111" s="3">
        <v>116.8</v>
      </c>
    </row>
    <row r="112" spans="1:11" hidden="1" x14ac:dyDescent="0.3">
      <c r="A112" t="s">
        <v>34</v>
      </c>
      <c r="B112">
        <v>2016</v>
      </c>
      <c r="C112" t="s">
        <v>31</v>
      </c>
      <c r="D112" s="3">
        <v>130.13076923076923</v>
      </c>
      <c r="E112" s="3">
        <v>135.19999999999999</v>
      </c>
      <c r="F112" s="3">
        <v>128.29999999999998</v>
      </c>
      <c r="G112" s="3">
        <v>123.4</v>
      </c>
      <c r="H112" s="3">
        <v>122</v>
      </c>
      <c r="I112" s="3">
        <v>118.46</v>
      </c>
      <c r="J112" s="3">
        <v>126.3</v>
      </c>
      <c r="K112" s="3">
        <v>118.5</v>
      </c>
    </row>
    <row r="113" spans="1:11" hidden="1" x14ac:dyDescent="0.3">
      <c r="A113" t="s">
        <v>30</v>
      </c>
      <c r="B113">
        <v>2016</v>
      </c>
      <c r="C113" t="s">
        <v>35</v>
      </c>
      <c r="D113" s="3">
        <v>129.43076923076922</v>
      </c>
      <c r="E113" s="3">
        <v>134.4</v>
      </c>
      <c r="F113" s="3">
        <v>132.36666666666667</v>
      </c>
      <c r="G113" s="3">
        <v>124.4</v>
      </c>
      <c r="H113" s="3">
        <v>124.3</v>
      </c>
      <c r="I113" s="3">
        <v>121.52000000000001</v>
      </c>
      <c r="J113" s="3">
        <v>127.1</v>
      </c>
      <c r="K113" s="3">
        <v>120.9</v>
      </c>
    </row>
    <row r="114" spans="1:11" hidden="1" x14ac:dyDescent="0.3">
      <c r="A114" t="s">
        <v>33</v>
      </c>
      <c r="B114">
        <v>2016</v>
      </c>
      <c r="C114" t="s">
        <v>35</v>
      </c>
      <c r="D114" s="3">
        <v>128.93076923076922</v>
      </c>
      <c r="E114" s="3">
        <v>140</v>
      </c>
      <c r="F114" s="3">
        <v>123.86666666666667</v>
      </c>
      <c r="G114" s="3">
        <v>124.4</v>
      </c>
      <c r="H114" s="3">
        <v>119.5</v>
      </c>
      <c r="I114" s="3">
        <v>116.38</v>
      </c>
      <c r="J114" s="3">
        <v>126.3</v>
      </c>
      <c r="K114" s="3">
        <v>117.2</v>
      </c>
    </row>
    <row r="115" spans="1:11" hidden="1" x14ac:dyDescent="0.3">
      <c r="A115" t="s">
        <v>34</v>
      </c>
      <c r="B115">
        <v>2016</v>
      </c>
      <c r="C115" t="s">
        <v>35</v>
      </c>
      <c r="D115" s="3">
        <v>129.08461538461538</v>
      </c>
      <c r="E115" s="3">
        <v>135.9</v>
      </c>
      <c r="F115" s="3">
        <v>128.96666666666667</v>
      </c>
      <c r="G115" s="3">
        <v>124.4</v>
      </c>
      <c r="H115" s="3">
        <v>122.5</v>
      </c>
      <c r="I115" s="3">
        <v>119.2</v>
      </c>
      <c r="J115" s="3">
        <v>126.6</v>
      </c>
      <c r="K115" s="3">
        <v>119.1</v>
      </c>
    </row>
    <row r="116" spans="1:11" hidden="1" x14ac:dyDescent="0.3">
      <c r="A116" t="s">
        <v>30</v>
      </c>
      <c r="B116">
        <v>2016</v>
      </c>
      <c r="C116" t="s">
        <v>36</v>
      </c>
      <c r="D116" s="3">
        <v>129.43846153846155</v>
      </c>
      <c r="E116" s="3">
        <v>135</v>
      </c>
      <c r="F116" s="3">
        <v>132.80000000000001</v>
      </c>
      <c r="G116" s="3">
        <v>124.9</v>
      </c>
      <c r="H116" s="3">
        <v>124.8</v>
      </c>
      <c r="I116" s="3">
        <v>121.63999999999999</v>
      </c>
      <c r="J116" s="3">
        <v>127.5</v>
      </c>
      <c r="K116" s="3">
        <v>121.1</v>
      </c>
    </row>
    <row r="117" spans="1:11" hidden="1" x14ac:dyDescent="0.3">
      <c r="A117" t="s">
        <v>33</v>
      </c>
      <c r="B117">
        <v>2016</v>
      </c>
      <c r="C117" t="s">
        <v>36</v>
      </c>
      <c r="D117" s="3">
        <v>128.27692307692308</v>
      </c>
      <c r="E117" s="3">
        <v>140.6</v>
      </c>
      <c r="F117" s="3">
        <v>124.06666666666666</v>
      </c>
      <c r="G117" s="3">
        <v>124.9</v>
      </c>
      <c r="H117" s="3">
        <v>119.7</v>
      </c>
      <c r="I117" s="3">
        <v>116.36000000000001</v>
      </c>
      <c r="J117" s="3">
        <v>126.4</v>
      </c>
      <c r="K117" s="3">
        <v>117.3</v>
      </c>
    </row>
    <row r="118" spans="1:11" hidden="1" x14ac:dyDescent="0.3">
      <c r="A118" t="s">
        <v>34</v>
      </c>
      <c r="B118">
        <v>2016</v>
      </c>
      <c r="C118" t="s">
        <v>36</v>
      </c>
      <c r="D118" s="3">
        <v>128.86153846153846</v>
      </c>
      <c r="E118" s="3">
        <v>136.5</v>
      </c>
      <c r="F118" s="3">
        <v>129.29999999999998</v>
      </c>
      <c r="G118" s="3">
        <v>124.9</v>
      </c>
      <c r="H118" s="3">
        <v>122.9</v>
      </c>
      <c r="I118" s="3">
        <v>119.25999999999999</v>
      </c>
      <c r="J118" s="3">
        <v>126.9</v>
      </c>
      <c r="K118" s="3">
        <v>119.3</v>
      </c>
    </row>
    <row r="119" spans="1:11" hidden="1" x14ac:dyDescent="0.3">
      <c r="A119" t="s">
        <v>30</v>
      </c>
      <c r="B119">
        <v>2016</v>
      </c>
      <c r="C119" t="s">
        <v>37</v>
      </c>
      <c r="D119" s="3">
        <v>130.89230769230772</v>
      </c>
      <c r="E119" s="3">
        <v>135.5</v>
      </c>
      <c r="F119" s="3">
        <v>133.33333333333334</v>
      </c>
      <c r="G119" s="3">
        <v>125.6</v>
      </c>
      <c r="H119" s="3">
        <v>125.2</v>
      </c>
      <c r="I119" s="3">
        <v>122.2</v>
      </c>
      <c r="J119" s="3">
        <v>127.9</v>
      </c>
      <c r="K119" s="3">
        <v>121.7</v>
      </c>
    </row>
    <row r="120" spans="1:11" hidden="1" x14ac:dyDescent="0.3">
      <c r="A120" t="s">
        <v>33</v>
      </c>
      <c r="B120">
        <v>2016</v>
      </c>
      <c r="C120" t="s">
        <v>37</v>
      </c>
      <c r="D120" s="3">
        <v>131.25384615384615</v>
      </c>
      <c r="E120" s="3">
        <v>141.5</v>
      </c>
      <c r="F120" s="3">
        <v>124.36666666666667</v>
      </c>
      <c r="G120" s="3">
        <v>125.6</v>
      </c>
      <c r="H120" s="3">
        <v>120</v>
      </c>
      <c r="I120" s="3">
        <v>116.9</v>
      </c>
      <c r="J120" s="3">
        <v>127.6</v>
      </c>
      <c r="K120" s="3">
        <v>118.2</v>
      </c>
    </row>
    <row r="121" spans="1:11" hidden="1" x14ac:dyDescent="0.3">
      <c r="A121" t="s">
        <v>34</v>
      </c>
      <c r="B121">
        <v>2016</v>
      </c>
      <c r="C121" t="s">
        <v>37</v>
      </c>
      <c r="D121" s="3">
        <v>130.86923076923077</v>
      </c>
      <c r="E121" s="3">
        <v>137.1</v>
      </c>
      <c r="F121" s="3">
        <v>129.73333333333335</v>
      </c>
      <c r="G121" s="3">
        <v>125.6</v>
      </c>
      <c r="H121" s="3">
        <v>123.2</v>
      </c>
      <c r="I121" s="3">
        <v>119.82000000000001</v>
      </c>
      <c r="J121" s="3">
        <v>127.7</v>
      </c>
      <c r="K121" s="3">
        <v>120</v>
      </c>
    </row>
    <row r="122" spans="1:11" hidden="1" x14ac:dyDescent="0.3">
      <c r="A122" t="s">
        <v>30</v>
      </c>
      <c r="B122">
        <v>2016</v>
      </c>
      <c r="C122" t="s">
        <v>38</v>
      </c>
      <c r="D122" s="3">
        <v>132.59230769230768</v>
      </c>
      <c r="E122" s="3">
        <v>136</v>
      </c>
      <c r="F122" s="3">
        <v>133.76666666666668</v>
      </c>
      <c r="G122" s="3">
        <v>126</v>
      </c>
      <c r="H122" s="3">
        <v>125.8</v>
      </c>
      <c r="I122" s="3">
        <v>122.86000000000001</v>
      </c>
      <c r="J122" s="3">
        <v>129.1</v>
      </c>
      <c r="K122" s="3">
        <v>122.5</v>
      </c>
    </row>
    <row r="123" spans="1:11" hidden="1" x14ac:dyDescent="0.3">
      <c r="A123" t="s">
        <v>33</v>
      </c>
      <c r="B123">
        <v>2016</v>
      </c>
      <c r="C123" t="s">
        <v>38</v>
      </c>
      <c r="D123" s="3">
        <v>134.36923076923074</v>
      </c>
      <c r="E123" s="3">
        <v>142.19999999999999</v>
      </c>
      <c r="F123" s="3">
        <v>124.7</v>
      </c>
      <c r="G123" s="3">
        <v>126</v>
      </c>
      <c r="H123" s="3">
        <v>120.3</v>
      </c>
      <c r="I123" s="3">
        <v>117.44000000000001</v>
      </c>
      <c r="J123" s="3">
        <v>128</v>
      </c>
      <c r="K123" s="3">
        <v>118.7</v>
      </c>
    </row>
    <row r="124" spans="1:11" hidden="1" x14ac:dyDescent="0.3">
      <c r="A124" t="s">
        <v>34</v>
      </c>
      <c r="B124">
        <v>2016</v>
      </c>
      <c r="C124" t="s">
        <v>38</v>
      </c>
      <c r="D124" s="3">
        <v>133.1076923076923</v>
      </c>
      <c r="E124" s="3">
        <v>137.69999999999999</v>
      </c>
      <c r="F124" s="3">
        <v>130.13333333333333</v>
      </c>
      <c r="G124" s="3">
        <v>126</v>
      </c>
      <c r="H124" s="3">
        <v>123.7</v>
      </c>
      <c r="I124" s="3">
        <v>120.44000000000001</v>
      </c>
      <c r="J124" s="3">
        <v>128.5</v>
      </c>
      <c r="K124" s="3">
        <v>120.7</v>
      </c>
    </row>
    <row r="125" spans="1:11" hidden="1" x14ac:dyDescent="0.3">
      <c r="A125" t="s">
        <v>30</v>
      </c>
      <c r="B125">
        <v>2016</v>
      </c>
      <c r="C125" t="s">
        <v>39</v>
      </c>
      <c r="D125" s="3">
        <v>134.50769230769231</v>
      </c>
      <c r="E125" s="3">
        <v>137.19999999999999</v>
      </c>
      <c r="F125" s="3">
        <v>134.5</v>
      </c>
      <c r="G125" s="3">
        <v>125.5</v>
      </c>
      <c r="H125" s="3">
        <v>126.2</v>
      </c>
      <c r="I125" s="3">
        <v>123.52000000000001</v>
      </c>
      <c r="J125" s="3">
        <v>130.19999999999999</v>
      </c>
      <c r="K125" s="3">
        <v>123.3</v>
      </c>
    </row>
    <row r="126" spans="1:11" hidden="1" x14ac:dyDescent="0.3">
      <c r="A126" t="s">
        <v>33</v>
      </c>
      <c r="B126">
        <v>2016</v>
      </c>
      <c r="C126" t="s">
        <v>39</v>
      </c>
      <c r="D126" s="3">
        <v>137.46153846153848</v>
      </c>
      <c r="E126" s="3">
        <v>142.69999999999999</v>
      </c>
      <c r="F126" s="3">
        <v>125.09999999999998</v>
      </c>
      <c r="G126" s="3">
        <v>125.5</v>
      </c>
      <c r="H126" s="3">
        <v>120.6</v>
      </c>
      <c r="I126" s="3">
        <v>117.93999999999998</v>
      </c>
      <c r="J126" s="3">
        <v>129.30000000000001</v>
      </c>
      <c r="K126" s="3">
        <v>119.6</v>
      </c>
    </row>
    <row r="127" spans="1:11" hidden="1" x14ac:dyDescent="0.3">
      <c r="A127" t="s">
        <v>34</v>
      </c>
      <c r="B127">
        <v>2016</v>
      </c>
      <c r="C127" t="s">
        <v>39</v>
      </c>
      <c r="D127" s="3">
        <v>135.43076923076922</v>
      </c>
      <c r="E127" s="3">
        <v>138.69999999999999</v>
      </c>
      <c r="F127" s="3">
        <v>130.70000000000002</v>
      </c>
      <c r="G127" s="3">
        <v>125.5</v>
      </c>
      <c r="H127" s="3">
        <v>124.1</v>
      </c>
      <c r="I127" s="3">
        <v>121</v>
      </c>
      <c r="J127" s="3">
        <v>129.69999999999999</v>
      </c>
      <c r="K127" s="3">
        <v>121.5</v>
      </c>
    </row>
    <row r="128" spans="1:11" hidden="1" x14ac:dyDescent="0.3">
      <c r="A128" t="s">
        <v>30</v>
      </c>
      <c r="B128">
        <v>2016</v>
      </c>
      <c r="C128" t="s">
        <v>40</v>
      </c>
      <c r="D128" s="3">
        <v>136.17692307692306</v>
      </c>
      <c r="E128" s="3">
        <v>138</v>
      </c>
      <c r="F128" s="3">
        <v>135.29999999999998</v>
      </c>
      <c r="G128" s="3">
        <v>126.4</v>
      </c>
      <c r="H128" s="3">
        <v>126.7</v>
      </c>
      <c r="I128" s="3">
        <v>124.14000000000001</v>
      </c>
      <c r="J128" s="3">
        <v>130.80000000000001</v>
      </c>
      <c r="K128" s="3">
        <v>123.8</v>
      </c>
    </row>
    <row r="129" spans="1:11" hidden="1" x14ac:dyDescent="0.3">
      <c r="A129" t="s">
        <v>33</v>
      </c>
      <c r="B129">
        <v>2016</v>
      </c>
      <c r="C129" t="s">
        <v>40</v>
      </c>
      <c r="D129" s="3">
        <v>139.34615384615387</v>
      </c>
      <c r="E129" s="3">
        <v>142.9</v>
      </c>
      <c r="F129" s="3">
        <v>125.3</v>
      </c>
      <c r="G129" s="3">
        <v>126.4</v>
      </c>
      <c r="H129" s="3">
        <v>120.9</v>
      </c>
      <c r="I129" s="3">
        <v>118.2</v>
      </c>
      <c r="J129" s="3">
        <v>130.80000000000001</v>
      </c>
      <c r="K129" s="3">
        <v>119.9</v>
      </c>
    </row>
    <row r="130" spans="1:11" hidden="1" x14ac:dyDescent="0.3">
      <c r="A130" t="s">
        <v>34</v>
      </c>
      <c r="B130">
        <v>2016</v>
      </c>
      <c r="C130" t="s">
        <v>40</v>
      </c>
      <c r="D130" s="3">
        <v>137.19230769230768</v>
      </c>
      <c r="E130" s="3">
        <v>139.30000000000001</v>
      </c>
      <c r="F130" s="3">
        <v>131.26666666666668</v>
      </c>
      <c r="G130" s="3">
        <v>126.4</v>
      </c>
      <c r="H130" s="3">
        <v>124.5</v>
      </c>
      <c r="I130" s="3">
        <v>121.42</v>
      </c>
      <c r="J130" s="3">
        <v>130.80000000000001</v>
      </c>
      <c r="K130" s="3">
        <v>121.9</v>
      </c>
    </row>
    <row r="131" spans="1:11" hidden="1" x14ac:dyDescent="0.3">
      <c r="A131" t="s">
        <v>30</v>
      </c>
      <c r="B131">
        <v>2016</v>
      </c>
      <c r="C131" t="s">
        <v>41</v>
      </c>
      <c r="D131" s="3">
        <v>136.73076923076923</v>
      </c>
      <c r="E131" s="3">
        <v>138.9</v>
      </c>
      <c r="F131" s="3">
        <v>135.96666666666667</v>
      </c>
      <c r="G131" s="3">
        <v>127.3</v>
      </c>
      <c r="H131" s="3">
        <v>127</v>
      </c>
      <c r="I131" s="3">
        <v>124.64000000000001</v>
      </c>
      <c r="J131" s="3">
        <v>131.9</v>
      </c>
      <c r="K131" s="3">
        <v>124.2</v>
      </c>
    </row>
    <row r="132" spans="1:11" hidden="1" x14ac:dyDescent="0.3">
      <c r="A132" t="s">
        <v>33</v>
      </c>
      <c r="B132">
        <v>2016</v>
      </c>
      <c r="C132" t="s">
        <v>41</v>
      </c>
      <c r="D132" s="3">
        <v>137.2307692307692</v>
      </c>
      <c r="E132" s="3">
        <v>143.6</v>
      </c>
      <c r="F132" s="3">
        <v>125.66666666666667</v>
      </c>
      <c r="G132" s="3">
        <v>127.3</v>
      </c>
      <c r="H132" s="3">
        <v>121.2</v>
      </c>
      <c r="I132" s="3">
        <v>118.1</v>
      </c>
      <c r="J132" s="3">
        <v>131.5</v>
      </c>
      <c r="K132" s="3">
        <v>119.9</v>
      </c>
    </row>
    <row r="133" spans="1:11" hidden="1" x14ac:dyDescent="0.3">
      <c r="A133" t="s">
        <v>34</v>
      </c>
      <c r="B133">
        <v>2016</v>
      </c>
      <c r="C133" t="s">
        <v>41</v>
      </c>
      <c r="D133" s="3">
        <v>136.76153846153846</v>
      </c>
      <c r="E133" s="3">
        <v>140.19999999999999</v>
      </c>
      <c r="F133" s="3">
        <v>131.83333333333331</v>
      </c>
      <c r="G133" s="3">
        <v>127.3</v>
      </c>
      <c r="H133" s="3">
        <v>124.8</v>
      </c>
      <c r="I133" s="3">
        <v>121.66</v>
      </c>
      <c r="J133" s="3">
        <v>131.69999999999999</v>
      </c>
      <c r="K133" s="3">
        <v>122.1</v>
      </c>
    </row>
    <row r="134" spans="1:11" hidden="1" x14ac:dyDescent="0.3">
      <c r="A134" t="s">
        <v>30</v>
      </c>
      <c r="B134">
        <v>2016</v>
      </c>
      <c r="C134" t="s">
        <v>42</v>
      </c>
      <c r="D134" s="3">
        <v>136.2076923076923</v>
      </c>
      <c r="E134" s="3">
        <v>139.9</v>
      </c>
      <c r="F134" s="3">
        <v>136.6</v>
      </c>
      <c r="G134" s="3">
        <v>127.9</v>
      </c>
      <c r="H134" s="3">
        <v>127.8</v>
      </c>
      <c r="I134" s="3">
        <v>125.25999999999999</v>
      </c>
      <c r="J134" s="3">
        <v>132.19999999999999</v>
      </c>
      <c r="K134" s="3">
        <v>124.9</v>
      </c>
    </row>
    <row r="135" spans="1:11" hidden="1" x14ac:dyDescent="0.3">
      <c r="A135" t="s">
        <v>33</v>
      </c>
      <c r="B135">
        <v>2016</v>
      </c>
      <c r="C135" t="s">
        <v>42</v>
      </c>
      <c r="D135" s="3">
        <v>135.10769230769228</v>
      </c>
      <c r="E135" s="3">
        <v>143.9</v>
      </c>
      <c r="F135" s="3">
        <v>126</v>
      </c>
      <c r="G135" s="3">
        <v>127.9</v>
      </c>
      <c r="H135" s="3">
        <v>121.4</v>
      </c>
      <c r="I135" s="3">
        <v>118.58</v>
      </c>
      <c r="J135" s="3">
        <v>131.6</v>
      </c>
      <c r="K135" s="3">
        <v>120.5</v>
      </c>
    </row>
    <row r="136" spans="1:11" hidden="1" x14ac:dyDescent="0.3">
      <c r="A136" t="s">
        <v>34</v>
      </c>
      <c r="B136">
        <v>2016</v>
      </c>
      <c r="C136" t="s">
        <v>42</v>
      </c>
      <c r="D136" s="3">
        <v>135.66923076923075</v>
      </c>
      <c r="E136" s="3">
        <v>141</v>
      </c>
      <c r="F136" s="3">
        <v>132.33333333333334</v>
      </c>
      <c r="G136" s="3">
        <v>127.9</v>
      </c>
      <c r="H136" s="3">
        <v>125.4</v>
      </c>
      <c r="I136" s="3">
        <v>122.26000000000002</v>
      </c>
      <c r="J136" s="3">
        <v>131.80000000000001</v>
      </c>
      <c r="K136" s="3">
        <v>122.8</v>
      </c>
    </row>
    <row r="137" spans="1:11" hidden="1" x14ac:dyDescent="0.3">
      <c r="A137" t="s">
        <v>30</v>
      </c>
      <c r="B137">
        <v>2016</v>
      </c>
      <c r="C137" t="s">
        <v>43</v>
      </c>
      <c r="D137" s="3">
        <v>136.2923076923077</v>
      </c>
      <c r="E137" s="3">
        <v>140.9</v>
      </c>
      <c r="F137" s="3">
        <v>137.56666666666666</v>
      </c>
      <c r="G137" s="3">
        <v>128.69999999999999</v>
      </c>
      <c r="H137" s="3">
        <v>128.69999999999999</v>
      </c>
      <c r="I137" s="3">
        <v>125.78000000000002</v>
      </c>
      <c r="J137" s="3">
        <v>133</v>
      </c>
      <c r="K137" s="3">
        <v>125.7</v>
      </c>
    </row>
    <row r="138" spans="1:11" hidden="1" x14ac:dyDescent="0.3">
      <c r="A138" t="s">
        <v>33</v>
      </c>
      <c r="B138">
        <v>2016</v>
      </c>
      <c r="C138" t="s">
        <v>43</v>
      </c>
      <c r="D138" s="3">
        <v>135.6076923076923</v>
      </c>
      <c r="E138" s="3">
        <v>144.30000000000001</v>
      </c>
      <c r="F138" s="3">
        <v>126.33333333333333</v>
      </c>
      <c r="G138" s="3">
        <v>128.69999999999999</v>
      </c>
      <c r="H138" s="3">
        <v>121.8</v>
      </c>
      <c r="I138" s="3">
        <v>118.9</v>
      </c>
      <c r="J138" s="3">
        <v>131.9</v>
      </c>
      <c r="K138" s="3">
        <v>120.9</v>
      </c>
    </row>
    <row r="139" spans="1:11" hidden="1" x14ac:dyDescent="0.3">
      <c r="A139" t="s">
        <v>34</v>
      </c>
      <c r="B139">
        <v>2016</v>
      </c>
      <c r="C139" t="s">
        <v>43</v>
      </c>
      <c r="D139" s="3">
        <v>135.90769230769226</v>
      </c>
      <c r="E139" s="3">
        <v>141.80000000000001</v>
      </c>
      <c r="F139" s="3">
        <v>133.03333333333333</v>
      </c>
      <c r="G139" s="3">
        <v>128.69999999999999</v>
      </c>
      <c r="H139" s="3">
        <v>126.1</v>
      </c>
      <c r="I139" s="3">
        <v>122.7</v>
      </c>
      <c r="J139" s="3">
        <v>132.4</v>
      </c>
      <c r="K139" s="3">
        <v>123.4</v>
      </c>
    </row>
    <row r="140" spans="1:11" hidden="1" x14ac:dyDescent="0.3">
      <c r="A140" t="s">
        <v>30</v>
      </c>
      <c r="B140">
        <v>2016</v>
      </c>
      <c r="C140" t="s">
        <v>45</v>
      </c>
      <c r="D140" s="3">
        <v>135.73846153846154</v>
      </c>
      <c r="E140" s="3">
        <v>141.19999999999999</v>
      </c>
      <c r="F140" s="3">
        <v>137.86666666666665</v>
      </c>
      <c r="G140" s="3">
        <v>129.1</v>
      </c>
      <c r="H140" s="3">
        <v>129.1</v>
      </c>
      <c r="I140" s="3">
        <v>126.2</v>
      </c>
      <c r="J140" s="3">
        <v>133.69999999999999</v>
      </c>
      <c r="K140" s="3">
        <v>126.1</v>
      </c>
    </row>
    <row r="141" spans="1:11" hidden="1" x14ac:dyDescent="0.3">
      <c r="A141" t="s">
        <v>33</v>
      </c>
      <c r="B141">
        <v>2016</v>
      </c>
      <c r="C141" t="s">
        <v>45</v>
      </c>
      <c r="D141" s="3">
        <v>135.01538461538462</v>
      </c>
      <c r="E141" s="3">
        <v>144.30000000000001</v>
      </c>
      <c r="F141" s="3">
        <v>126.73333333333333</v>
      </c>
      <c r="G141" s="3">
        <v>129.1</v>
      </c>
      <c r="H141" s="3">
        <v>122.1</v>
      </c>
      <c r="I141" s="3">
        <v>119.46</v>
      </c>
      <c r="J141" s="3">
        <v>132.1</v>
      </c>
      <c r="K141" s="3">
        <v>121.3</v>
      </c>
    </row>
    <row r="142" spans="1:11" hidden="1" x14ac:dyDescent="0.3">
      <c r="A142" t="s">
        <v>34</v>
      </c>
      <c r="B142">
        <v>2016</v>
      </c>
      <c r="C142" t="s">
        <v>45</v>
      </c>
      <c r="D142" s="3">
        <v>135.36923076923077</v>
      </c>
      <c r="E142" s="3">
        <v>142</v>
      </c>
      <c r="F142" s="3">
        <v>133.36666666666667</v>
      </c>
      <c r="G142" s="3">
        <v>129.1</v>
      </c>
      <c r="H142" s="3">
        <v>126.4</v>
      </c>
      <c r="I142" s="3">
        <v>123.17999999999999</v>
      </c>
      <c r="J142" s="3">
        <v>132.80000000000001</v>
      </c>
      <c r="K142" s="3">
        <v>123.8</v>
      </c>
    </row>
    <row r="143" spans="1:11" hidden="1" x14ac:dyDescent="0.3">
      <c r="A143" t="s">
        <v>30</v>
      </c>
      <c r="B143">
        <v>2016</v>
      </c>
      <c r="C143" t="s">
        <v>46</v>
      </c>
      <c r="D143" s="3">
        <v>134.54615384615383</v>
      </c>
      <c r="E143" s="3">
        <v>142.4</v>
      </c>
      <c r="F143" s="3">
        <v>138.43333333333334</v>
      </c>
      <c r="G143" s="3">
        <v>128.5</v>
      </c>
      <c r="H143" s="3">
        <v>129.69999999999999</v>
      </c>
      <c r="I143" s="3">
        <v>126.54</v>
      </c>
      <c r="J143" s="3">
        <v>134.19999999999999</v>
      </c>
      <c r="K143" s="3">
        <v>126.3</v>
      </c>
    </row>
    <row r="144" spans="1:11" hidden="1" x14ac:dyDescent="0.3">
      <c r="A144" t="s">
        <v>33</v>
      </c>
      <c r="B144">
        <v>2016</v>
      </c>
      <c r="C144" t="s">
        <v>46</v>
      </c>
      <c r="D144" s="3">
        <v>133.06153846153845</v>
      </c>
      <c r="E144" s="3">
        <v>145</v>
      </c>
      <c r="F144" s="3">
        <v>127</v>
      </c>
      <c r="G144" s="3">
        <v>128.5</v>
      </c>
      <c r="H144" s="3">
        <v>122.3</v>
      </c>
      <c r="I144" s="3">
        <v>119.64000000000001</v>
      </c>
      <c r="J144" s="3">
        <v>132.30000000000001</v>
      </c>
      <c r="K144" s="3">
        <v>121.4</v>
      </c>
    </row>
    <row r="145" spans="1:11" hidden="1" x14ac:dyDescent="0.3">
      <c r="A145" t="s">
        <v>34</v>
      </c>
      <c r="B145">
        <v>2016</v>
      </c>
      <c r="C145" t="s">
        <v>46</v>
      </c>
      <c r="D145" s="3">
        <v>133.9</v>
      </c>
      <c r="E145" s="3">
        <v>143.1</v>
      </c>
      <c r="F145" s="3">
        <v>133.83333333333334</v>
      </c>
      <c r="G145" s="3">
        <v>128.5</v>
      </c>
      <c r="H145" s="3">
        <v>126.9</v>
      </c>
      <c r="I145" s="3">
        <v>123.41999999999999</v>
      </c>
      <c r="J145" s="3">
        <v>133.1</v>
      </c>
      <c r="K145" s="3">
        <v>123.9</v>
      </c>
    </row>
    <row r="146" spans="1:11" hidden="1" x14ac:dyDescent="0.3">
      <c r="A146" t="s">
        <v>30</v>
      </c>
      <c r="B146">
        <v>2017</v>
      </c>
      <c r="C146" t="s">
        <v>31</v>
      </c>
      <c r="D146" s="3">
        <v>133.63846153846154</v>
      </c>
      <c r="E146" s="3">
        <v>143.1</v>
      </c>
      <c r="F146" s="3">
        <v>138.83333333333334</v>
      </c>
      <c r="G146" s="3">
        <v>129.6</v>
      </c>
      <c r="H146" s="3">
        <v>129.9</v>
      </c>
      <c r="I146" s="3">
        <v>126.73999999999998</v>
      </c>
      <c r="J146" s="3">
        <v>134.6</v>
      </c>
      <c r="K146" s="3">
        <v>126.6</v>
      </c>
    </row>
    <row r="147" spans="1:11" hidden="1" x14ac:dyDescent="0.3">
      <c r="A147" t="s">
        <v>33</v>
      </c>
      <c r="B147">
        <v>2017</v>
      </c>
      <c r="C147" t="s">
        <v>31</v>
      </c>
      <c r="D147" s="3">
        <v>131.78461538461539</v>
      </c>
      <c r="E147" s="3">
        <v>145.6</v>
      </c>
      <c r="F147" s="3">
        <v>127.16666666666667</v>
      </c>
      <c r="G147" s="3">
        <v>129.6</v>
      </c>
      <c r="H147" s="3">
        <v>122.6</v>
      </c>
      <c r="I147" s="3">
        <v>120.24000000000001</v>
      </c>
      <c r="J147" s="3">
        <v>132.4</v>
      </c>
      <c r="K147" s="3">
        <v>122.1</v>
      </c>
    </row>
    <row r="148" spans="1:11" hidden="1" x14ac:dyDescent="0.3">
      <c r="A148" t="s">
        <v>34</v>
      </c>
      <c r="B148">
        <v>2017</v>
      </c>
      <c r="C148" t="s">
        <v>31</v>
      </c>
      <c r="D148" s="3">
        <v>132.86923076923074</v>
      </c>
      <c r="E148" s="3">
        <v>143.80000000000001</v>
      </c>
      <c r="F148" s="3">
        <v>134.13333333333333</v>
      </c>
      <c r="G148" s="3">
        <v>129.6</v>
      </c>
      <c r="H148" s="3">
        <v>127.1</v>
      </c>
      <c r="I148" s="3">
        <v>123.82000000000001</v>
      </c>
      <c r="J148" s="3">
        <v>133.30000000000001</v>
      </c>
      <c r="K148" s="3">
        <v>124.4</v>
      </c>
    </row>
    <row r="149" spans="1:11" hidden="1" x14ac:dyDescent="0.3">
      <c r="A149" t="s">
        <v>30</v>
      </c>
      <c r="B149">
        <v>2017</v>
      </c>
      <c r="C149" t="s">
        <v>35</v>
      </c>
      <c r="D149" s="3">
        <v>133.42307692307693</v>
      </c>
      <c r="E149" s="3">
        <v>143.69999999999999</v>
      </c>
      <c r="F149" s="3">
        <v>138.96666666666667</v>
      </c>
      <c r="G149" s="3">
        <v>130.5</v>
      </c>
      <c r="H149" s="3">
        <v>130.1</v>
      </c>
      <c r="I149" s="3">
        <v>127.44000000000001</v>
      </c>
      <c r="J149" s="3">
        <v>134.9</v>
      </c>
      <c r="K149" s="3">
        <v>127</v>
      </c>
    </row>
    <row r="150" spans="1:11" hidden="1" x14ac:dyDescent="0.3">
      <c r="A150" t="s">
        <v>33</v>
      </c>
      <c r="B150">
        <v>2017</v>
      </c>
      <c r="C150" t="s">
        <v>35</v>
      </c>
      <c r="D150" s="3">
        <v>131.17692307692309</v>
      </c>
      <c r="E150" s="3">
        <v>146.30000000000001</v>
      </c>
      <c r="F150" s="3">
        <v>127.43333333333334</v>
      </c>
      <c r="G150" s="3">
        <v>130.5</v>
      </c>
      <c r="H150" s="3">
        <v>122.9</v>
      </c>
      <c r="I150" s="3">
        <v>120.78</v>
      </c>
      <c r="J150" s="3">
        <v>132.4</v>
      </c>
      <c r="K150" s="3">
        <v>122.4</v>
      </c>
    </row>
    <row r="151" spans="1:11" hidden="1" x14ac:dyDescent="0.3">
      <c r="A151" t="s">
        <v>34</v>
      </c>
      <c r="B151">
        <v>2017</v>
      </c>
      <c r="C151" t="s">
        <v>35</v>
      </c>
      <c r="D151" s="3">
        <v>132.48461538461541</v>
      </c>
      <c r="E151" s="3">
        <v>144.4</v>
      </c>
      <c r="F151" s="3">
        <v>134.33333333333334</v>
      </c>
      <c r="G151" s="3">
        <v>130.5</v>
      </c>
      <c r="H151" s="3">
        <v>127.4</v>
      </c>
      <c r="I151" s="3">
        <v>124.44000000000001</v>
      </c>
      <c r="J151" s="3">
        <v>133.4</v>
      </c>
      <c r="K151" s="3">
        <v>124.8</v>
      </c>
    </row>
    <row r="152" spans="1:11" hidden="1" x14ac:dyDescent="0.3">
      <c r="A152" t="s">
        <v>30</v>
      </c>
      <c r="B152">
        <v>2017</v>
      </c>
      <c r="C152" t="s">
        <v>36</v>
      </c>
      <c r="D152" s="3">
        <v>132.96153846153848</v>
      </c>
      <c r="E152" s="3">
        <v>144.19999999999999</v>
      </c>
      <c r="F152" s="3">
        <v>139.53333333333333</v>
      </c>
      <c r="G152" s="3">
        <v>131.1</v>
      </c>
      <c r="H152" s="3">
        <v>130.6</v>
      </c>
      <c r="I152" s="3">
        <v>127.93999999999998</v>
      </c>
      <c r="J152" s="3">
        <v>135.19999999999999</v>
      </c>
      <c r="K152" s="3">
        <v>127.4</v>
      </c>
    </row>
    <row r="153" spans="1:11" hidden="1" x14ac:dyDescent="0.3">
      <c r="A153" t="s">
        <v>33</v>
      </c>
      <c r="B153">
        <v>2017</v>
      </c>
      <c r="C153" t="s">
        <v>36</v>
      </c>
      <c r="D153" s="3">
        <v>131.2076923076923</v>
      </c>
      <c r="E153" s="3">
        <v>147.5</v>
      </c>
      <c r="F153" s="3">
        <v>127.73333333333335</v>
      </c>
      <c r="G153" s="3">
        <v>131.1</v>
      </c>
      <c r="H153" s="3">
        <v>123.1</v>
      </c>
      <c r="I153" s="3">
        <v>121.22</v>
      </c>
      <c r="J153" s="3">
        <v>132.80000000000001</v>
      </c>
      <c r="K153" s="3">
        <v>122.6</v>
      </c>
    </row>
    <row r="154" spans="1:11" hidden="1" x14ac:dyDescent="0.3">
      <c r="A154" t="s">
        <v>34</v>
      </c>
      <c r="B154">
        <v>2017</v>
      </c>
      <c r="C154" t="s">
        <v>36</v>
      </c>
      <c r="D154" s="3">
        <v>132.22307692307692</v>
      </c>
      <c r="E154" s="3">
        <v>145.1</v>
      </c>
      <c r="F154" s="3">
        <v>134.76666666666665</v>
      </c>
      <c r="G154" s="3">
        <v>131.1</v>
      </c>
      <c r="H154" s="3">
        <v>127.8</v>
      </c>
      <c r="I154" s="3">
        <v>124.88</v>
      </c>
      <c r="J154" s="3">
        <v>133.80000000000001</v>
      </c>
      <c r="K154" s="3">
        <v>125.1</v>
      </c>
    </row>
    <row r="155" spans="1:11" hidden="1" x14ac:dyDescent="0.3">
      <c r="A155" t="s">
        <v>30</v>
      </c>
      <c r="B155">
        <v>2017</v>
      </c>
      <c r="C155" t="s">
        <v>37</v>
      </c>
      <c r="D155" s="3">
        <v>132.7923076923077</v>
      </c>
      <c r="E155" s="3">
        <v>144.4</v>
      </c>
      <c r="F155" s="3">
        <v>140.26666666666668</v>
      </c>
      <c r="G155" s="3">
        <v>131.69999999999999</v>
      </c>
      <c r="H155" s="3">
        <v>131</v>
      </c>
      <c r="I155" s="3">
        <v>128.1</v>
      </c>
      <c r="J155" s="3">
        <v>135.69999999999999</v>
      </c>
      <c r="K155" s="3">
        <v>127.5</v>
      </c>
    </row>
    <row r="156" spans="1:11" hidden="1" x14ac:dyDescent="0.3">
      <c r="A156" t="s">
        <v>33</v>
      </c>
      <c r="B156">
        <v>2017</v>
      </c>
      <c r="C156" t="s">
        <v>37</v>
      </c>
      <c r="D156" s="3">
        <v>131.3923076923077</v>
      </c>
      <c r="E156" s="3">
        <v>148</v>
      </c>
      <c r="F156" s="3">
        <v>128.06666666666666</v>
      </c>
      <c r="G156" s="3">
        <v>131.69999999999999</v>
      </c>
      <c r="H156" s="3">
        <v>123.4</v>
      </c>
      <c r="I156" s="3">
        <v>121.3</v>
      </c>
      <c r="J156" s="3">
        <v>133.6</v>
      </c>
      <c r="K156" s="3">
        <v>122.5</v>
      </c>
    </row>
    <row r="157" spans="1:11" hidden="1" x14ac:dyDescent="0.3">
      <c r="A157" t="s">
        <v>34</v>
      </c>
      <c r="B157">
        <v>2017</v>
      </c>
      <c r="C157" t="s">
        <v>37</v>
      </c>
      <c r="D157" s="3">
        <v>132.1846153846154</v>
      </c>
      <c r="E157" s="3">
        <v>145.4</v>
      </c>
      <c r="F157" s="3">
        <v>135.36666666666667</v>
      </c>
      <c r="G157" s="3">
        <v>131.69999999999999</v>
      </c>
      <c r="H157" s="3">
        <v>128.1</v>
      </c>
      <c r="I157" s="3">
        <v>125.00000000000003</v>
      </c>
      <c r="J157" s="3">
        <v>134.5</v>
      </c>
      <c r="K157" s="3">
        <v>125.1</v>
      </c>
    </row>
    <row r="158" spans="1:11" hidden="1" x14ac:dyDescent="0.3">
      <c r="A158" t="s">
        <v>30</v>
      </c>
      <c r="B158">
        <v>2017</v>
      </c>
      <c r="C158" t="s">
        <v>38</v>
      </c>
      <c r="D158" s="3">
        <v>132.88461538461536</v>
      </c>
      <c r="E158" s="3">
        <v>145.5</v>
      </c>
      <c r="F158" s="3">
        <v>140.53333333333333</v>
      </c>
      <c r="G158" s="3">
        <v>132.1</v>
      </c>
      <c r="H158" s="3">
        <v>131.4</v>
      </c>
      <c r="I158" s="3">
        <v>128.47999999999999</v>
      </c>
      <c r="J158" s="3">
        <v>136.30000000000001</v>
      </c>
      <c r="K158" s="3">
        <v>127.9</v>
      </c>
    </row>
    <row r="159" spans="1:11" hidden="1" x14ac:dyDescent="0.3">
      <c r="A159" t="s">
        <v>33</v>
      </c>
      <c r="B159">
        <v>2017</v>
      </c>
      <c r="C159" t="s">
        <v>38</v>
      </c>
      <c r="D159" s="3">
        <v>131.50769230769231</v>
      </c>
      <c r="E159" s="3">
        <v>148.30000000000001</v>
      </c>
      <c r="F159" s="3">
        <v>128.29999999999998</v>
      </c>
      <c r="G159" s="3">
        <v>132.1</v>
      </c>
      <c r="H159" s="3">
        <v>123.6</v>
      </c>
      <c r="I159" s="3">
        <v>121.14000000000001</v>
      </c>
      <c r="J159" s="3">
        <v>133.80000000000001</v>
      </c>
      <c r="K159" s="3">
        <v>122.6</v>
      </c>
    </row>
    <row r="160" spans="1:11" hidden="1" x14ac:dyDescent="0.3">
      <c r="A160" t="s">
        <v>34</v>
      </c>
      <c r="B160">
        <v>2017</v>
      </c>
      <c r="C160" t="s">
        <v>38</v>
      </c>
      <c r="D160" s="3">
        <v>132.27692307692308</v>
      </c>
      <c r="E160" s="3">
        <v>146.19999999999999</v>
      </c>
      <c r="F160" s="3">
        <v>135.6</v>
      </c>
      <c r="G160" s="3">
        <v>132.1</v>
      </c>
      <c r="H160" s="3">
        <v>128.4</v>
      </c>
      <c r="I160" s="3">
        <v>125.14000000000001</v>
      </c>
      <c r="J160" s="3">
        <v>134.80000000000001</v>
      </c>
      <c r="K160" s="3">
        <v>125.3</v>
      </c>
    </row>
    <row r="161" spans="1:11" hidden="1" x14ac:dyDescent="0.3">
      <c r="A161" t="s">
        <v>30</v>
      </c>
      <c r="B161">
        <v>2017</v>
      </c>
      <c r="C161" t="s">
        <v>39</v>
      </c>
      <c r="D161" s="3">
        <v>133.75384615384615</v>
      </c>
      <c r="E161" s="3">
        <v>145.80000000000001</v>
      </c>
      <c r="F161" s="3">
        <v>141.03333333333333</v>
      </c>
      <c r="G161" s="3">
        <v>131.4</v>
      </c>
      <c r="H161" s="3">
        <v>131.30000000000001</v>
      </c>
      <c r="I161" s="3">
        <v>128.66000000000003</v>
      </c>
      <c r="J161" s="3">
        <v>136.9</v>
      </c>
      <c r="K161" s="3">
        <v>128.1</v>
      </c>
    </row>
    <row r="162" spans="1:11" hidden="1" x14ac:dyDescent="0.3">
      <c r="A162" t="s">
        <v>33</v>
      </c>
      <c r="B162">
        <v>2017</v>
      </c>
      <c r="C162" t="s">
        <v>39</v>
      </c>
      <c r="D162" s="3">
        <v>133.15384615384616</v>
      </c>
      <c r="E162" s="3">
        <v>148.6</v>
      </c>
      <c r="F162" s="3">
        <v>128.29999999999998</v>
      </c>
      <c r="G162" s="3">
        <v>131.4</v>
      </c>
      <c r="H162" s="3">
        <v>123.8</v>
      </c>
      <c r="I162" s="3">
        <v>121.02000000000001</v>
      </c>
      <c r="J162" s="3">
        <v>134.30000000000001</v>
      </c>
      <c r="K162" s="3">
        <v>122.7</v>
      </c>
    </row>
    <row r="163" spans="1:11" hidden="1" x14ac:dyDescent="0.3">
      <c r="A163" t="s">
        <v>34</v>
      </c>
      <c r="B163">
        <v>2017</v>
      </c>
      <c r="C163" t="s">
        <v>39</v>
      </c>
      <c r="D163" s="3">
        <v>133.43846153846155</v>
      </c>
      <c r="E163" s="3">
        <v>146.5</v>
      </c>
      <c r="F163" s="3">
        <v>135.9</v>
      </c>
      <c r="G163" s="3">
        <v>131.4</v>
      </c>
      <c r="H163" s="3">
        <v>128.5</v>
      </c>
      <c r="I163" s="3">
        <v>125.16</v>
      </c>
      <c r="J163" s="3">
        <v>135.4</v>
      </c>
      <c r="K163" s="3">
        <v>125.5</v>
      </c>
    </row>
    <row r="164" spans="1:11" hidden="1" x14ac:dyDescent="0.3">
      <c r="A164" t="s">
        <v>30</v>
      </c>
      <c r="B164">
        <v>2017</v>
      </c>
      <c r="C164" t="s">
        <v>40</v>
      </c>
      <c r="D164" s="3">
        <v>136.37692307692308</v>
      </c>
      <c r="E164" s="3">
        <v>147.4</v>
      </c>
      <c r="F164" s="3">
        <v>141.96666666666667</v>
      </c>
      <c r="G164" s="3">
        <v>132.6</v>
      </c>
      <c r="H164" s="3">
        <v>132.1</v>
      </c>
      <c r="I164" s="3">
        <v>129.1</v>
      </c>
      <c r="J164" s="3">
        <v>138.6</v>
      </c>
      <c r="K164" s="3">
        <v>128.6</v>
      </c>
    </row>
    <row r="165" spans="1:11" hidden="1" x14ac:dyDescent="0.3">
      <c r="A165" t="s">
        <v>33</v>
      </c>
      <c r="B165">
        <v>2017</v>
      </c>
      <c r="C165" t="s">
        <v>40</v>
      </c>
      <c r="D165" s="3">
        <v>136.00769230769231</v>
      </c>
      <c r="E165" s="3">
        <v>150.5</v>
      </c>
      <c r="F165" s="3">
        <v>128.56666666666669</v>
      </c>
      <c r="G165" s="3">
        <v>132.6</v>
      </c>
      <c r="H165" s="3">
        <v>125</v>
      </c>
      <c r="I165" s="3">
        <v>121.2</v>
      </c>
      <c r="J165" s="3">
        <v>135.5</v>
      </c>
      <c r="K165" s="3">
        <v>123</v>
      </c>
    </row>
    <row r="166" spans="1:11" hidden="1" x14ac:dyDescent="0.3">
      <c r="A166" t="s">
        <v>34</v>
      </c>
      <c r="B166">
        <v>2017</v>
      </c>
      <c r="C166" t="s">
        <v>40</v>
      </c>
      <c r="D166" s="3">
        <v>136.1076923076923</v>
      </c>
      <c r="E166" s="3">
        <v>148.19999999999999</v>
      </c>
      <c r="F166" s="3">
        <v>136.56666666666666</v>
      </c>
      <c r="G166" s="3">
        <v>132.6</v>
      </c>
      <c r="H166" s="3">
        <v>129.4</v>
      </c>
      <c r="I166" s="3">
        <v>125.5</v>
      </c>
      <c r="J166" s="3">
        <v>136.80000000000001</v>
      </c>
      <c r="K166" s="3">
        <v>125.9</v>
      </c>
    </row>
    <row r="167" spans="1:11" hidden="1" x14ac:dyDescent="0.3">
      <c r="A167" t="s">
        <v>30</v>
      </c>
      <c r="B167">
        <v>2017</v>
      </c>
      <c r="C167" t="s">
        <v>41</v>
      </c>
      <c r="D167" s="3">
        <v>137.88461538461536</v>
      </c>
      <c r="E167" s="3">
        <v>149</v>
      </c>
      <c r="F167" s="3">
        <v>143</v>
      </c>
      <c r="G167" s="3">
        <v>134.4</v>
      </c>
      <c r="H167" s="3">
        <v>133</v>
      </c>
      <c r="I167" s="3">
        <v>130.18</v>
      </c>
      <c r="J167" s="3">
        <v>140.19999999999999</v>
      </c>
      <c r="K167" s="3">
        <v>129.69999999999999</v>
      </c>
    </row>
    <row r="168" spans="1:11" hidden="1" x14ac:dyDescent="0.3">
      <c r="A168" t="s">
        <v>33</v>
      </c>
      <c r="B168">
        <v>2017</v>
      </c>
      <c r="C168" t="s">
        <v>41</v>
      </c>
      <c r="D168" s="3">
        <v>136.38461538461536</v>
      </c>
      <c r="E168" s="3">
        <v>152.1</v>
      </c>
      <c r="F168" s="3">
        <v>129.46666666666667</v>
      </c>
      <c r="G168" s="3">
        <v>134.4</v>
      </c>
      <c r="H168" s="3">
        <v>125.7</v>
      </c>
      <c r="I168" s="3">
        <v>121.72</v>
      </c>
      <c r="J168" s="3">
        <v>135.69999999999999</v>
      </c>
      <c r="K168" s="3">
        <v>123.8</v>
      </c>
    </row>
    <row r="169" spans="1:11" hidden="1" x14ac:dyDescent="0.3">
      <c r="A169" t="s">
        <v>34</v>
      </c>
      <c r="B169">
        <v>2017</v>
      </c>
      <c r="C169" t="s">
        <v>41</v>
      </c>
      <c r="D169" s="3">
        <v>137.21538461538461</v>
      </c>
      <c r="E169" s="3">
        <v>149.80000000000001</v>
      </c>
      <c r="F169" s="3">
        <v>137.53333333333333</v>
      </c>
      <c r="G169" s="3">
        <v>134.4</v>
      </c>
      <c r="H169" s="3">
        <v>130.19999999999999</v>
      </c>
      <c r="I169" s="3">
        <v>126.34</v>
      </c>
      <c r="J169" s="3">
        <v>137.6</v>
      </c>
      <c r="K169" s="3">
        <v>126.8</v>
      </c>
    </row>
    <row r="170" spans="1:11" hidden="1" x14ac:dyDescent="0.3">
      <c r="A170" t="s">
        <v>30</v>
      </c>
      <c r="B170">
        <v>2017</v>
      </c>
      <c r="C170" t="s">
        <v>42</v>
      </c>
      <c r="D170" s="3">
        <v>137.25384615384615</v>
      </c>
      <c r="E170" s="3">
        <v>149.80000000000001</v>
      </c>
      <c r="F170" s="3">
        <v>143.66666666666666</v>
      </c>
      <c r="G170" s="3">
        <v>135.69999999999999</v>
      </c>
      <c r="H170" s="3">
        <v>133.4</v>
      </c>
      <c r="I170" s="3">
        <v>131.1</v>
      </c>
      <c r="J170" s="3">
        <v>139.6</v>
      </c>
      <c r="K170" s="3">
        <v>130.30000000000001</v>
      </c>
    </row>
    <row r="171" spans="1:11" hidden="1" x14ac:dyDescent="0.3">
      <c r="A171" t="s">
        <v>33</v>
      </c>
      <c r="B171">
        <v>2017</v>
      </c>
      <c r="C171" t="s">
        <v>42</v>
      </c>
      <c r="D171" s="3">
        <v>134.59230769230768</v>
      </c>
      <c r="E171" s="3">
        <v>153.6</v>
      </c>
      <c r="F171" s="3">
        <v>129.96666666666667</v>
      </c>
      <c r="G171" s="3">
        <v>135.69999999999999</v>
      </c>
      <c r="H171" s="3">
        <v>126.1</v>
      </c>
      <c r="I171" s="3">
        <v>122.66</v>
      </c>
      <c r="J171" s="3">
        <v>135.9</v>
      </c>
      <c r="K171" s="3">
        <v>124.5</v>
      </c>
    </row>
    <row r="172" spans="1:11" hidden="1" x14ac:dyDescent="0.3">
      <c r="A172" t="s">
        <v>34</v>
      </c>
      <c r="B172">
        <v>2017</v>
      </c>
      <c r="C172" t="s">
        <v>42</v>
      </c>
      <c r="D172" s="3">
        <v>136.15384615384613</v>
      </c>
      <c r="E172" s="3">
        <v>150.80000000000001</v>
      </c>
      <c r="F172" s="3">
        <v>138.16666666666666</v>
      </c>
      <c r="G172" s="3">
        <v>135.69999999999999</v>
      </c>
      <c r="H172" s="3">
        <v>130.6</v>
      </c>
      <c r="I172" s="3">
        <v>127.24000000000001</v>
      </c>
      <c r="J172" s="3">
        <v>137.4</v>
      </c>
      <c r="K172" s="3">
        <v>127.5</v>
      </c>
    </row>
    <row r="173" spans="1:11" hidden="1" x14ac:dyDescent="0.3">
      <c r="A173" t="s">
        <v>30</v>
      </c>
      <c r="B173">
        <v>2017</v>
      </c>
      <c r="C173" t="s">
        <v>43</v>
      </c>
      <c r="D173" s="3">
        <v>137.76153846153846</v>
      </c>
      <c r="E173" s="3">
        <v>150.5</v>
      </c>
      <c r="F173" s="3">
        <v>144.66666666666666</v>
      </c>
      <c r="G173" s="3">
        <v>137.30000000000001</v>
      </c>
      <c r="H173" s="3">
        <v>134.19999999999999</v>
      </c>
      <c r="I173" s="3">
        <v>131.57999999999998</v>
      </c>
      <c r="J173" s="3">
        <v>140.1</v>
      </c>
      <c r="K173" s="3">
        <v>130.69999999999999</v>
      </c>
    </row>
    <row r="174" spans="1:11" hidden="1" x14ac:dyDescent="0.3">
      <c r="A174" t="s">
        <v>33</v>
      </c>
      <c r="B174">
        <v>2017</v>
      </c>
      <c r="C174" t="s">
        <v>43</v>
      </c>
      <c r="D174" s="3">
        <v>135.82307692307691</v>
      </c>
      <c r="E174" s="3">
        <v>154.6</v>
      </c>
      <c r="F174" s="3">
        <v>130.5</v>
      </c>
      <c r="G174" s="3">
        <v>137.30000000000001</v>
      </c>
      <c r="H174" s="3">
        <v>126.6</v>
      </c>
      <c r="I174" s="3">
        <v>123.05999999999999</v>
      </c>
      <c r="J174" s="3">
        <v>136.30000000000001</v>
      </c>
      <c r="K174" s="3">
        <v>124.5</v>
      </c>
    </row>
    <row r="175" spans="1:11" hidden="1" x14ac:dyDescent="0.3">
      <c r="A175" t="s">
        <v>34</v>
      </c>
      <c r="B175">
        <v>2017</v>
      </c>
      <c r="C175" t="s">
        <v>43</v>
      </c>
      <c r="D175" s="3">
        <v>136.89999999999998</v>
      </c>
      <c r="E175" s="3">
        <v>151.6</v>
      </c>
      <c r="F175" s="3">
        <v>138.96666666666667</v>
      </c>
      <c r="G175" s="3">
        <v>137.30000000000001</v>
      </c>
      <c r="H175" s="3">
        <v>131.30000000000001</v>
      </c>
      <c r="I175" s="3">
        <v>127.64000000000001</v>
      </c>
      <c r="J175" s="3">
        <v>137.9</v>
      </c>
      <c r="K175" s="3">
        <v>127.7</v>
      </c>
    </row>
    <row r="176" spans="1:11" hidden="1" x14ac:dyDescent="0.3">
      <c r="A176" t="s">
        <v>30</v>
      </c>
      <c r="B176">
        <v>2017</v>
      </c>
      <c r="C176" t="s">
        <v>45</v>
      </c>
      <c r="D176" s="3">
        <v>139.82307692307694</v>
      </c>
      <c r="E176" s="3">
        <v>152.1</v>
      </c>
      <c r="F176" s="3">
        <v>145.66666666666666</v>
      </c>
      <c r="G176" s="3">
        <v>138.6</v>
      </c>
      <c r="H176" s="3">
        <v>135.80000000000001</v>
      </c>
      <c r="I176" s="3">
        <v>132.78</v>
      </c>
      <c r="J176" s="3">
        <v>141.5</v>
      </c>
      <c r="K176" s="3">
        <v>131.69999999999999</v>
      </c>
    </row>
    <row r="177" spans="1:11" hidden="1" x14ac:dyDescent="0.3">
      <c r="A177" t="s">
        <v>33</v>
      </c>
      <c r="B177">
        <v>2017</v>
      </c>
      <c r="C177" t="s">
        <v>45</v>
      </c>
      <c r="D177" s="3">
        <v>138.2076923076923</v>
      </c>
      <c r="E177" s="3">
        <v>156.19999999999999</v>
      </c>
      <c r="F177" s="3">
        <v>131.29999999999998</v>
      </c>
      <c r="G177" s="3">
        <v>138.6</v>
      </c>
      <c r="H177" s="3">
        <v>127.4</v>
      </c>
      <c r="I177" s="3">
        <v>123.96</v>
      </c>
      <c r="J177" s="3">
        <v>136.6</v>
      </c>
      <c r="K177" s="3">
        <v>124.9</v>
      </c>
    </row>
    <row r="178" spans="1:11" hidden="1" x14ac:dyDescent="0.3">
      <c r="A178" t="s">
        <v>34</v>
      </c>
      <c r="B178">
        <v>2017</v>
      </c>
      <c r="C178" t="s">
        <v>45</v>
      </c>
      <c r="D178" s="3">
        <v>139.09230769230768</v>
      </c>
      <c r="E178" s="3">
        <v>153.19999999999999</v>
      </c>
      <c r="F178" s="3">
        <v>139.86666666666667</v>
      </c>
      <c r="G178" s="3">
        <v>138.6</v>
      </c>
      <c r="H178" s="3">
        <v>132.6</v>
      </c>
      <c r="I178" s="3">
        <v>128.74</v>
      </c>
      <c r="J178" s="3">
        <v>138.6</v>
      </c>
      <c r="K178" s="3">
        <v>128.4</v>
      </c>
    </row>
    <row r="179" spans="1:11" hidden="1" x14ac:dyDescent="0.3">
      <c r="A179" t="s">
        <v>30</v>
      </c>
      <c r="B179">
        <v>2017</v>
      </c>
      <c r="C179" t="s">
        <v>46</v>
      </c>
      <c r="D179" s="3">
        <v>139.50769230769231</v>
      </c>
      <c r="E179" s="3">
        <v>153.19999999999999</v>
      </c>
      <c r="F179" s="3">
        <v>145.69999999999999</v>
      </c>
      <c r="G179" s="3">
        <v>139.1</v>
      </c>
      <c r="H179" s="3">
        <v>136.1</v>
      </c>
      <c r="I179" s="3">
        <v>133.06</v>
      </c>
      <c r="J179" s="3">
        <v>141.1</v>
      </c>
      <c r="K179" s="3">
        <v>131.9</v>
      </c>
    </row>
    <row r="180" spans="1:11" hidden="1" x14ac:dyDescent="0.3">
      <c r="A180" t="s">
        <v>33</v>
      </c>
      <c r="B180">
        <v>2017</v>
      </c>
      <c r="C180" t="s">
        <v>46</v>
      </c>
      <c r="D180" s="3">
        <v>135.96153846153845</v>
      </c>
      <c r="E180" s="3">
        <v>157</v>
      </c>
      <c r="F180" s="3">
        <v>131.73333333333332</v>
      </c>
      <c r="G180" s="3">
        <v>139.1</v>
      </c>
      <c r="H180" s="3">
        <v>128.19999999999999</v>
      </c>
      <c r="I180" s="3">
        <v>124.32000000000001</v>
      </c>
      <c r="J180" s="3">
        <v>136.69999999999999</v>
      </c>
      <c r="K180" s="3">
        <v>125.1</v>
      </c>
    </row>
    <row r="181" spans="1:11" hidden="1" x14ac:dyDescent="0.3">
      <c r="A181" t="s">
        <v>34</v>
      </c>
      <c r="B181">
        <v>2017</v>
      </c>
      <c r="C181" t="s">
        <v>46</v>
      </c>
      <c r="D181" s="3">
        <v>138.07692307692307</v>
      </c>
      <c r="E181" s="3">
        <v>154.19999999999999</v>
      </c>
      <c r="F181" s="3">
        <v>140.06666666666666</v>
      </c>
      <c r="G181" s="3">
        <v>139.1</v>
      </c>
      <c r="H181" s="3">
        <v>133.1</v>
      </c>
      <c r="I181" s="3">
        <v>129.06</v>
      </c>
      <c r="J181" s="3">
        <v>138.5</v>
      </c>
      <c r="K181" s="3">
        <v>128.6</v>
      </c>
    </row>
    <row r="182" spans="1:11" hidden="1" x14ac:dyDescent="0.3">
      <c r="A182" t="s">
        <v>30</v>
      </c>
      <c r="B182">
        <v>2018</v>
      </c>
      <c r="C182" t="s">
        <v>31</v>
      </c>
      <c r="D182" s="3">
        <v>138.51538461538462</v>
      </c>
      <c r="E182" s="3">
        <v>153.6</v>
      </c>
      <c r="F182" s="3">
        <v>146.03333333333333</v>
      </c>
      <c r="G182" s="3">
        <v>140.4</v>
      </c>
      <c r="H182" s="3">
        <v>136</v>
      </c>
      <c r="I182" s="3">
        <v>133.54000000000002</v>
      </c>
      <c r="J182" s="3">
        <v>141.6</v>
      </c>
      <c r="K182" s="3">
        <v>132.30000000000001</v>
      </c>
    </row>
    <row r="183" spans="1:11" hidden="1" x14ac:dyDescent="0.3">
      <c r="A183" t="s">
        <v>33</v>
      </c>
      <c r="B183">
        <v>2018</v>
      </c>
      <c r="C183" t="s">
        <v>31</v>
      </c>
      <c r="D183" s="3">
        <v>134.48461538461541</v>
      </c>
      <c r="E183" s="3">
        <v>157.69999999999999</v>
      </c>
      <c r="F183" s="3">
        <v>132.1</v>
      </c>
      <c r="G183" s="3">
        <v>140.4</v>
      </c>
      <c r="H183" s="3">
        <v>129</v>
      </c>
      <c r="I183" s="3">
        <v>124.96</v>
      </c>
      <c r="J183" s="3">
        <v>137.1</v>
      </c>
      <c r="K183" s="3">
        <v>125.8</v>
      </c>
    </row>
    <row r="184" spans="1:11" hidden="1" x14ac:dyDescent="0.3">
      <c r="A184" t="s">
        <v>34</v>
      </c>
      <c r="B184">
        <v>2018</v>
      </c>
      <c r="C184" t="s">
        <v>31</v>
      </c>
      <c r="D184" s="3">
        <v>136.91538461538462</v>
      </c>
      <c r="E184" s="3">
        <v>154.69999999999999</v>
      </c>
      <c r="F184" s="3">
        <v>140.43333333333334</v>
      </c>
      <c r="G184" s="3">
        <v>140.4</v>
      </c>
      <c r="H184" s="3">
        <v>133.30000000000001</v>
      </c>
      <c r="I184" s="3">
        <v>129.56</v>
      </c>
      <c r="J184" s="3">
        <v>139</v>
      </c>
      <c r="K184" s="3">
        <v>129.1</v>
      </c>
    </row>
    <row r="185" spans="1:11" hidden="1" x14ac:dyDescent="0.3">
      <c r="A185" t="s">
        <v>30</v>
      </c>
      <c r="B185">
        <v>2018</v>
      </c>
      <c r="C185" t="s">
        <v>35</v>
      </c>
      <c r="D185" s="3">
        <v>137.03846153846155</v>
      </c>
      <c r="E185" s="3">
        <v>153.30000000000001</v>
      </c>
      <c r="F185" s="3">
        <v>146.30000000000001</v>
      </c>
      <c r="G185" s="3">
        <v>141.30000000000001</v>
      </c>
      <c r="H185" s="3">
        <v>136.19999999999999</v>
      </c>
      <c r="I185" s="3">
        <v>133.74</v>
      </c>
      <c r="J185" s="3">
        <v>141.5</v>
      </c>
      <c r="K185" s="3">
        <v>132.5</v>
      </c>
    </row>
    <row r="186" spans="1:11" hidden="1" x14ac:dyDescent="0.3">
      <c r="A186" t="s">
        <v>33</v>
      </c>
      <c r="B186">
        <v>2018</v>
      </c>
      <c r="C186" t="s">
        <v>35</v>
      </c>
      <c r="D186" s="3">
        <v>132.91538461538462</v>
      </c>
      <c r="E186" s="3">
        <v>159.30000000000001</v>
      </c>
      <c r="F186" s="3">
        <v>132.36666666666665</v>
      </c>
      <c r="G186" s="3">
        <v>141.30000000000001</v>
      </c>
      <c r="H186" s="3">
        <v>129.80000000000001</v>
      </c>
      <c r="I186" s="3">
        <v>125.46000000000001</v>
      </c>
      <c r="J186" s="3">
        <v>137.19999999999999</v>
      </c>
      <c r="K186" s="3">
        <v>126.5</v>
      </c>
    </row>
    <row r="187" spans="1:11" hidden="1" x14ac:dyDescent="0.3">
      <c r="A187" t="s">
        <v>34</v>
      </c>
      <c r="B187">
        <v>2018</v>
      </c>
      <c r="C187" t="s">
        <v>35</v>
      </c>
      <c r="D187" s="3">
        <v>135.4153846153846</v>
      </c>
      <c r="E187" s="3">
        <v>154.9</v>
      </c>
      <c r="F187" s="3">
        <v>140.66666666666666</v>
      </c>
      <c r="G187" s="3">
        <v>141.30000000000001</v>
      </c>
      <c r="H187" s="3">
        <v>133.80000000000001</v>
      </c>
      <c r="I187" s="3">
        <v>129.94</v>
      </c>
      <c r="J187" s="3">
        <v>139</v>
      </c>
      <c r="K187" s="3">
        <v>129.6</v>
      </c>
    </row>
    <row r="188" spans="1:11" hidden="1" x14ac:dyDescent="0.3">
      <c r="A188" t="s">
        <v>30</v>
      </c>
      <c r="B188">
        <v>2018</v>
      </c>
      <c r="C188" t="s">
        <v>36</v>
      </c>
      <c r="D188" s="3">
        <v>137.07692307692307</v>
      </c>
      <c r="E188" s="3">
        <v>155.1</v>
      </c>
      <c r="F188" s="3">
        <v>146.83333333333334</v>
      </c>
      <c r="G188" s="3">
        <v>142</v>
      </c>
      <c r="H188" s="3">
        <v>136.69999999999999</v>
      </c>
      <c r="I188" s="3">
        <v>134.30000000000001</v>
      </c>
      <c r="J188" s="3">
        <v>142.69999999999999</v>
      </c>
      <c r="K188" s="3">
        <v>133.30000000000001</v>
      </c>
    </row>
    <row r="189" spans="1:11" hidden="1" x14ac:dyDescent="0.3">
      <c r="A189" t="s">
        <v>33</v>
      </c>
      <c r="B189">
        <v>2018</v>
      </c>
      <c r="C189" t="s">
        <v>36</v>
      </c>
      <c r="D189" s="3">
        <v>131.96153846153845</v>
      </c>
      <c r="E189" s="3">
        <v>159.69999999999999</v>
      </c>
      <c r="F189" s="3">
        <v>132.86666666666665</v>
      </c>
      <c r="G189" s="3">
        <v>142</v>
      </c>
      <c r="H189" s="3">
        <v>130.5</v>
      </c>
      <c r="I189" s="3">
        <v>125.70000000000002</v>
      </c>
      <c r="J189" s="3">
        <v>137.80000000000001</v>
      </c>
      <c r="K189" s="3">
        <v>127.1</v>
      </c>
    </row>
    <row r="190" spans="1:11" hidden="1" x14ac:dyDescent="0.3">
      <c r="A190" t="s">
        <v>34</v>
      </c>
      <c r="B190">
        <v>2018</v>
      </c>
      <c r="C190" t="s">
        <v>36</v>
      </c>
      <c r="D190" s="3">
        <v>135.07692307692307</v>
      </c>
      <c r="E190" s="3">
        <v>156.30000000000001</v>
      </c>
      <c r="F190" s="3">
        <v>141.20000000000002</v>
      </c>
      <c r="G190" s="3">
        <v>142</v>
      </c>
      <c r="H190" s="3">
        <v>134.30000000000001</v>
      </c>
      <c r="I190" s="3">
        <v>130.34</v>
      </c>
      <c r="J190" s="3">
        <v>139.80000000000001</v>
      </c>
      <c r="K190" s="3">
        <v>130.30000000000001</v>
      </c>
    </row>
    <row r="191" spans="1:11" hidden="1" x14ac:dyDescent="0.3">
      <c r="A191" t="s">
        <v>30</v>
      </c>
      <c r="B191">
        <v>2018</v>
      </c>
      <c r="C191" t="s">
        <v>37</v>
      </c>
      <c r="D191" s="3">
        <v>136.92307692307693</v>
      </c>
      <c r="E191" s="3">
        <v>156.1</v>
      </c>
      <c r="F191" s="3">
        <v>147.5</v>
      </c>
      <c r="G191" s="3">
        <v>142.9</v>
      </c>
      <c r="H191" s="3">
        <v>137.6</v>
      </c>
      <c r="I191" s="3">
        <v>135.28</v>
      </c>
      <c r="J191" s="3">
        <v>143.69999999999999</v>
      </c>
      <c r="K191" s="3">
        <v>134.19999999999999</v>
      </c>
    </row>
    <row r="192" spans="1:11" hidden="1" x14ac:dyDescent="0.3">
      <c r="A192" t="s">
        <v>33</v>
      </c>
      <c r="B192">
        <v>2018</v>
      </c>
      <c r="C192" t="s">
        <v>37</v>
      </c>
      <c r="D192" s="3">
        <v>132.30769230769232</v>
      </c>
      <c r="E192" s="3">
        <v>159.19999999999999</v>
      </c>
      <c r="F192" s="3">
        <v>133.80000000000001</v>
      </c>
      <c r="G192" s="3">
        <v>142.9</v>
      </c>
      <c r="H192" s="3">
        <v>131.30000000000001</v>
      </c>
      <c r="I192" s="3">
        <v>126.1</v>
      </c>
      <c r="J192" s="3">
        <v>139.69999999999999</v>
      </c>
      <c r="K192" s="3">
        <v>128.19999999999999</v>
      </c>
    </row>
    <row r="193" spans="1:11" hidden="1" x14ac:dyDescent="0.3">
      <c r="A193" t="s">
        <v>34</v>
      </c>
      <c r="B193">
        <v>2018</v>
      </c>
      <c r="C193" t="s">
        <v>37</v>
      </c>
      <c r="D193" s="3">
        <v>135.16153846153847</v>
      </c>
      <c r="E193" s="3">
        <v>156.9</v>
      </c>
      <c r="F193" s="3">
        <v>142</v>
      </c>
      <c r="G193" s="3">
        <v>142.9</v>
      </c>
      <c r="H193" s="3">
        <v>135.19999999999999</v>
      </c>
      <c r="I193" s="3">
        <v>131.1</v>
      </c>
      <c r="J193" s="3">
        <v>141.4</v>
      </c>
      <c r="K193" s="3">
        <v>131.30000000000001</v>
      </c>
    </row>
    <row r="194" spans="1:11" hidden="1" x14ac:dyDescent="0.3">
      <c r="A194" t="s">
        <v>30</v>
      </c>
      <c r="B194">
        <v>2018</v>
      </c>
      <c r="C194" t="s">
        <v>38</v>
      </c>
      <c r="D194" s="3">
        <v>137.1076923076923</v>
      </c>
      <c r="E194" s="3">
        <v>157</v>
      </c>
      <c r="F194" s="3">
        <v>148.23333333333332</v>
      </c>
      <c r="G194" s="3">
        <v>143.19999999999999</v>
      </c>
      <c r="H194" s="3">
        <v>138.4</v>
      </c>
      <c r="I194" s="3">
        <v>136.1</v>
      </c>
      <c r="J194" s="3">
        <v>144.4</v>
      </c>
      <c r="K194" s="3">
        <v>135.1</v>
      </c>
    </row>
    <row r="195" spans="1:11" hidden="1" x14ac:dyDescent="0.3">
      <c r="A195" t="s">
        <v>33</v>
      </c>
      <c r="B195">
        <v>2018</v>
      </c>
      <c r="C195" t="s">
        <v>38</v>
      </c>
      <c r="D195" s="3">
        <v>132.53076923076921</v>
      </c>
      <c r="E195" s="3">
        <v>160.30000000000001</v>
      </c>
      <c r="F195" s="3">
        <v>134.5</v>
      </c>
      <c r="G195" s="3">
        <v>143.19999999999999</v>
      </c>
      <c r="H195" s="3">
        <v>132</v>
      </c>
      <c r="I195" s="3">
        <v>126.62</v>
      </c>
      <c r="J195" s="3">
        <v>140.4</v>
      </c>
      <c r="K195" s="3">
        <v>128.9</v>
      </c>
    </row>
    <row r="196" spans="1:11" hidden="1" x14ac:dyDescent="0.3">
      <c r="A196" t="s">
        <v>34</v>
      </c>
      <c r="B196">
        <v>2018</v>
      </c>
      <c r="C196" t="s">
        <v>38</v>
      </c>
      <c r="D196" s="3">
        <v>135.36923076923077</v>
      </c>
      <c r="E196" s="3">
        <v>157.9</v>
      </c>
      <c r="F196" s="3">
        <v>142.69999999999999</v>
      </c>
      <c r="G196" s="3">
        <v>143.19999999999999</v>
      </c>
      <c r="H196" s="3">
        <v>136</v>
      </c>
      <c r="I196" s="3">
        <v>131.78</v>
      </c>
      <c r="J196" s="3">
        <v>142.1</v>
      </c>
      <c r="K196" s="3">
        <v>132.1</v>
      </c>
    </row>
    <row r="197" spans="1:11" hidden="1" x14ac:dyDescent="0.3">
      <c r="A197" t="s">
        <v>30</v>
      </c>
      <c r="B197">
        <v>2018</v>
      </c>
      <c r="C197" t="s">
        <v>39</v>
      </c>
      <c r="D197" s="3">
        <v>137.71538461538461</v>
      </c>
      <c r="E197" s="3">
        <v>157.30000000000001</v>
      </c>
      <c r="F197" s="3">
        <v>148.76666666666668</v>
      </c>
      <c r="G197" s="3">
        <v>142.5</v>
      </c>
      <c r="H197" s="3">
        <v>138.4</v>
      </c>
      <c r="I197" s="3">
        <v>136.78</v>
      </c>
      <c r="J197" s="3">
        <v>145.1</v>
      </c>
      <c r="K197" s="3">
        <v>135.6</v>
      </c>
    </row>
    <row r="198" spans="1:11" hidden="1" x14ac:dyDescent="0.3">
      <c r="A198" t="s">
        <v>33</v>
      </c>
      <c r="B198">
        <v>2018</v>
      </c>
      <c r="C198" t="s">
        <v>39</v>
      </c>
      <c r="D198" s="3">
        <v>134.40769230769232</v>
      </c>
      <c r="E198" s="3">
        <v>161</v>
      </c>
      <c r="F198" s="3">
        <v>135</v>
      </c>
      <c r="G198" s="3">
        <v>142.5</v>
      </c>
      <c r="H198" s="3">
        <v>132.6</v>
      </c>
      <c r="I198" s="3">
        <v>127.34</v>
      </c>
      <c r="J198" s="3">
        <v>141.19999999999999</v>
      </c>
      <c r="K198" s="3">
        <v>129.5</v>
      </c>
    </row>
    <row r="199" spans="1:11" hidden="1" x14ac:dyDescent="0.3">
      <c r="A199" t="s">
        <v>34</v>
      </c>
      <c r="B199">
        <v>2018</v>
      </c>
      <c r="C199" t="s">
        <v>39</v>
      </c>
      <c r="D199" s="3">
        <v>136.46923076923079</v>
      </c>
      <c r="E199" s="3">
        <v>158.30000000000001</v>
      </c>
      <c r="F199" s="3">
        <v>143.23333333333332</v>
      </c>
      <c r="G199" s="3">
        <v>142.5</v>
      </c>
      <c r="H199" s="3">
        <v>136.19999999999999</v>
      </c>
      <c r="I199" s="3">
        <v>132.47999999999999</v>
      </c>
      <c r="J199" s="3">
        <v>142.80000000000001</v>
      </c>
      <c r="K199" s="3">
        <v>132.6</v>
      </c>
    </row>
    <row r="200" spans="1:11" hidden="1" x14ac:dyDescent="0.3">
      <c r="A200" t="s">
        <v>30</v>
      </c>
      <c r="B200">
        <v>2018</v>
      </c>
      <c r="C200" t="s">
        <v>40</v>
      </c>
      <c r="D200" s="3">
        <v>139.26923076923077</v>
      </c>
      <c r="E200" s="3">
        <v>156.1</v>
      </c>
      <c r="F200" s="3">
        <v>149.06666666666669</v>
      </c>
      <c r="G200" s="3">
        <v>143.6</v>
      </c>
      <c r="H200" s="3">
        <v>139</v>
      </c>
      <c r="I200" s="3">
        <v>137.44</v>
      </c>
      <c r="J200" s="3">
        <v>145.80000000000001</v>
      </c>
      <c r="K200" s="3">
        <v>136</v>
      </c>
    </row>
    <row r="201" spans="1:11" hidden="1" x14ac:dyDescent="0.3">
      <c r="A201" t="s">
        <v>33</v>
      </c>
      <c r="B201">
        <v>2018</v>
      </c>
      <c r="C201" t="s">
        <v>40</v>
      </c>
      <c r="D201" s="3">
        <v>136.23846153846154</v>
      </c>
      <c r="E201" s="3">
        <v>161.4</v>
      </c>
      <c r="F201" s="3">
        <v>135.46666666666667</v>
      </c>
      <c r="G201" s="3">
        <v>143.6</v>
      </c>
      <c r="H201" s="3">
        <v>133.6</v>
      </c>
      <c r="I201" s="3">
        <v>127.8</v>
      </c>
      <c r="J201" s="3">
        <v>144</v>
      </c>
      <c r="K201" s="3">
        <v>130.19999999999999</v>
      </c>
    </row>
    <row r="202" spans="1:11" hidden="1" x14ac:dyDescent="0.3">
      <c r="A202" t="s">
        <v>34</v>
      </c>
      <c r="B202">
        <v>2018</v>
      </c>
      <c r="C202" t="s">
        <v>40</v>
      </c>
      <c r="D202" s="3">
        <v>138.1</v>
      </c>
      <c r="E202" s="3">
        <v>157.5</v>
      </c>
      <c r="F202" s="3">
        <v>143.60000000000002</v>
      </c>
      <c r="G202" s="3">
        <v>143.6</v>
      </c>
      <c r="H202" s="3">
        <v>137</v>
      </c>
      <c r="I202" s="3">
        <v>133.02000000000001</v>
      </c>
      <c r="J202" s="3">
        <v>144.69999999999999</v>
      </c>
      <c r="K202" s="3">
        <v>133.19999999999999</v>
      </c>
    </row>
    <row r="203" spans="1:11" hidden="1" x14ac:dyDescent="0.3">
      <c r="A203" t="s">
        <v>30</v>
      </c>
      <c r="B203">
        <v>2018</v>
      </c>
      <c r="C203" t="s">
        <v>41</v>
      </c>
      <c r="D203" s="3">
        <v>139.90769230769232</v>
      </c>
      <c r="E203" s="3">
        <v>156.4</v>
      </c>
      <c r="F203" s="3">
        <v>149.73333333333332</v>
      </c>
      <c r="G203" s="3">
        <v>144.6</v>
      </c>
      <c r="H203" s="3">
        <v>139.4</v>
      </c>
      <c r="I203" s="3">
        <v>137.94</v>
      </c>
      <c r="J203" s="3">
        <v>146.9</v>
      </c>
      <c r="K203" s="3">
        <v>136.6</v>
      </c>
    </row>
    <row r="204" spans="1:11" hidden="1" x14ac:dyDescent="0.3">
      <c r="A204" t="s">
        <v>33</v>
      </c>
      <c r="B204">
        <v>2018</v>
      </c>
      <c r="C204" t="s">
        <v>41</v>
      </c>
      <c r="D204" s="3">
        <v>135.96923076923076</v>
      </c>
      <c r="E204" s="3">
        <v>162.1</v>
      </c>
      <c r="F204" s="3">
        <v>135.76666666666668</v>
      </c>
      <c r="G204" s="3">
        <v>144.6</v>
      </c>
      <c r="H204" s="3">
        <v>134.9</v>
      </c>
      <c r="I204" s="3">
        <v>128.6</v>
      </c>
      <c r="J204" s="3">
        <v>145.30000000000001</v>
      </c>
      <c r="K204" s="3">
        <v>131</v>
      </c>
    </row>
    <row r="205" spans="1:11" hidden="1" x14ac:dyDescent="0.3">
      <c r="A205" t="s">
        <v>34</v>
      </c>
      <c r="B205">
        <v>2018</v>
      </c>
      <c r="C205" t="s">
        <v>41</v>
      </c>
      <c r="D205" s="3">
        <v>138.36153846153849</v>
      </c>
      <c r="E205" s="3">
        <v>157.9</v>
      </c>
      <c r="F205" s="3">
        <v>144.06666666666669</v>
      </c>
      <c r="G205" s="3">
        <v>144.6</v>
      </c>
      <c r="H205" s="3">
        <v>137.69999999999999</v>
      </c>
      <c r="I205" s="3">
        <v>133.66000000000003</v>
      </c>
      <c r="J205" s="3">
        <v>146</v>
      </c>
      <c r="K205" s="3">
        <v>133.9</v>
      </c>
    </row>
    <row r="206" spans="1:11" hidden="1" x14ac:dyDescent="0.3">
      <c r="A206" t="s">
        <v>30</v>
      </c>
      <c r="B206">
        <v>2018</v>
      </c>
      <c r="C206" t="s">
        <v>42</v>
      </c>
      <c r="D206" s="3">
        <v>138.44615384615386</v>
      </c>
      <c r="E206" s="3">
        <v>157.69999999999999</v>
      </c>
      <c r="F206" s="3">
        <v>149.83333333333334</v>
      </c>
      <c r="G206" s="3">
        <v>145.30000000000001</v>
      </c>
      <c r="H206" s="3">
        <v>140</v>
      </c>
      <c r="I206" s="3">
        <v>138.97999999999999</v>
      </c>
      <c r="J206" s="3">
        <v>147.6</v>
      </c>
      <c r="K206" s="3">
        <v>137.4</v>
      </c>
    </row>
    <row r="207" spans="1:11" hidden="1" x14ac:dyDescent="0.3">
      <c r="A207" t="s">
        <v>33</v>
      </c>
      <c r="B207">
        <v>2018</v>
      </c>
      <c r="C207" t="s">
        <v>42</v>
      </c>
      <c r="D207" s="3">
        <v>134.49230769230769</v>
      </c>
      <c r="E207" s="3">
        <v>163.30000000000001</v>
      </c>
      <c r="F207" s="3">
        <v>136.4</v>
      </c>
      <c r="G207" s="3">
        <v>145.30000000000001</v>
      </c>
      <c r="H207" s="3">
        <v>135.69999999999999</v>
      </c>
      <c r="I207" s="3">
        <v>129.61999999999998</v>
      </c>
      <c r="J207" s="3">
        <v>145.19999999999999</v>
      </c>
      <c r="K207" s="3">
        <v>131.9</v>
      </c>
    </row>
    <row r="208" spans="1:11" hidden="1" x14ac:dyDescent="0.3">
      <c r="A208" t="s">
        <v>34</v>
      </c>
      <c r="B208">
        <v>2018</v>
      </c>
      <c r="C208" t="s">
        <v>42</v>
      </c>
      <c r="D208" s="3">
        <v>136.88461538461539</v>
      </c>
      <c r="E208" s="3">
        <v>159.19999999999999</v>
      </c>
      <c r="F208" s="3">
        <v>144.43333333333331</v>
      </c>
      <c r="G208" s="3">
        <v>145.30000000000001</v>
      </c>
      <c r="H208" s="3">
        <v>138.4</v>
      </c>
      <c r="I208" s="3">
        <v>134.68</v>
      </c>
      <c r="J208" s="3">
        <v>146.19999999999999</v>
      </c>
      <c r="K208" s="3">
        <v>134.69999999999999</v>
      </c>
    </row>
    <row r="209" spans="1:11" hidden="1" x14ac:dyDescent="0.3">
      <c r="A209" t="s">
        <v>30</v>
      </c>
      <c r="B209">
        <v>2018</v>
      </c>
      <c r="C209" t="s">
        <v>43</v>
      </c>
      <c r="D209" s="3">
        <v>137.09230769230768</v>
      </c>
      <c r="E209" s="3">
        <v>159.6</v>
      </c>
      <c r="F209" s="3">
        <v>148.33333333333334</v>
      </c>
      <c r="G209" s="3">
        <v>146.30000000000001</v>
      </c>
      <c r="H209" s="3">
        <v>144.80000000000001</v>
      </c>
      <c r="I209" s="3">
        <v>140.5</v>
      </c>
      <c r="J209" s="3">
        <v>148</v>
      </c>
      <c r="K209" s="3">
        <v>139.80000000000001</v>
      </c>
    </row>
    <row r="210" spans="1:11" hidden="1" x14ac:dyDescent="0.3">
      <c r="A210" t="s">
        <v>33</v>
      </c>
      <c r="B210">
        <v>2018</v>
      </c>
      <c r="C210" t="s">
        <v>43</v>
      </c>
      <c r="D210" s="3">
        <v>134.93076923076922</v>
      </c>
      <c r="E210" s="3">
        <v>164</v>
      </c>
      <c r="F210" s="3">
        <v>137</v>
      </c>
      <c r="G210" s="3">
        <v>146.30000000000001</v>
      </c>
      <c r="H210" s="3">
        <v>136.19999999999999</v>
      </c>
      <c r="I210" s="3">
        <v>130.57999999999998</v>
      </c>
      <c r="J210" s="3">
        <v>145.5</v>
      </c>
      <c r="K210" s="3">
        <v>132.5</v>
      </c>
    </row>
    <row r="211" spans="1:11" hidden="1" x14ac:dyDescent="0.3">
      <c r="A211" t="s">
        <v>34</v>
      </c>
      <c r="B211">
        <v>2018</v>
      </c>
      <c r="C211" t="s">
        <v>43</v>
      </c>
      <c r="D211" s="3">
        <v>136.63076923076923</v>
      </c>
      <c r="E211" s="3">
        <v>162.6</v>
      </c>
      <c r="F211" s="3">
        <v>144.66666666666666</v>
      </c>
      <c r="G211" s="3">
        <v>146.9</v>
      </c>
      <c r="H211" s="3">
        <v>142.1</v>
      </c>
      <c r="I211" s="3">
        <v>136.30000000000001</v>
      </c>
      <c r="J211" s="3">
        <v>147.80000000000001</v>
      </c>
      <c r="K211" s="3">
        <v>136.30000000000001</v>
      </c>
    </row>
    <row r="212" spans="1:11" hidden="1" x14ac:dyDescent="0.3">
      <c r="A212" t="s">
        <v>30</v>
      </c>
      <c r="B212">
        <v>2018</v>
      </c>
      <c r="C212" t="s">
        <v>45</v>
      </c>
      <c r="D212" s="3">
        <v>137.49999999999997</v>
      </c>
      <c r="E212" s="3">
        <v>161.9</v>
      </c>
      <c r="F212" s="3">
        <v>149.33333333333334</v>
      </c>
      <c r="G212" s="3">
        <v>146.9</v>
      </c>
      <c r="H212" s="3">
        <v>145.4</v>
      </c>
      <c r="I212" s="3">
        <v>140.96</v>
      </c>
      <c r="J212" s="3">
        <v>150.19999999999999</v>
      </c>
      <c r="K212" s="3">
        <v>140.1</v>
      </c>
    </row>
    <row r="213" spans="1:11" hidden="1" x14ac:dyDescent="0.3">
      <c r="A213" t="s">
        <v>33</v>
      </c>
      <c r="B213">
        <v>2018</v>
      </c>
      <c r="C213" t="s">
        <v>45</v>
      </c>
      <c r="D213" s="3">
        <v>135.19230769230768</v>
      </c>
      <c r="E213" s="3">
        <v>164.4</v>
      </c>
      <c r="F213" s="3">
        <v>137.70000000000002</v>
      </c>
      <c r="G213" s="3">
        <v>146.9</v>
      </c>
      <c r="H213" s="3">
        <v>136.80000000000001</v>
      </c>
      <c r="I213" s="3">
        <v>131.1</v>
      </c>
      <c r="J213" s="3">
        <v>146.1</v>
      </c>
      <c r="K213" s="3">
        <v>132.19999999999999</v>
      </c>
    </row>
    <row r="214" spans="1:11" hidden="1" x14ac:dyDescent="0.3">
      <c r="A214" t="s">
        <v>34</v>
      </c>
      <c r="B214">
        <v>2018</v>
      </c>
      <c r="C214" t="s">
        <v>45</v>
      </c>
      <c r="D214" s="3">
        <v>136.59230769230771</v>
      </c>
      <c r="E214" s="3">
        <v>162.6</v>
      </c>
      <c r="F214" s="3">
        <v>144.6</v>
      </c>
      <c r="G214" s="3">
        <v>146.9</v>
      </c>
      <c r="H214" s="3">
        <v>142.1</v>
      </c>
      <c r="I214" s="3">
        <v>136.26</v>
      </c>
      <c r="J214" s="3">
        <v>147.80000000000001</v>
      </c>
      <c r="K214" s="3">
        <v>136.30000000000001</v>
      </c>
    </row>
    <row r="215" spans="1:11" hidden="1" x14ac:dyDescent="0.3">
      <c r="A215" t="s">
        <v>30</v>
      </c>
      <c r="B215">
        <v>2018</v>
      </c>
      <c r="C215" t="s">
        <v>46</v>
      </c>
      <c r="D215" s="3">
        <v>136.3923076923077</v>
      </c>
      <c r="E215" s="3">
        <v>162.4</v>
      </c>
      <c r="F215" s="3">
        <v>149.43333333333334</v>
      </c>
      <c r="G215" s="3">
        <v>146.5</v>
      </c>
      <c r="H215" s="3">
        <v>149.6</v>
      </c>
      <c r="I215" s="3">
        <v>140.78000000000003</v>
      </c>
      <c r="J215" s="3">
        <v>155.1</v>
      </c>
      <c r="K215" s="3">
        <v>141.6</v>
      </c>
    </row>
    <row r="216" spans="1:11" hidden="1" x14ac:dyDescent="0.3">
      <c r="A216" t="s">
        <v>33</v>
      </c>
      <c r="B216">
        <v>2018</v>
      </c>
      <c r="C216" t="s">
        <v>46</v>
      </c>
      <c r="D216" s="3">
        <v>134.35384615384615</v>
      </c>
      <c r="E216" s="3">
        <v>164.6</v>
      </c>
      <c r="F216" s="3">
        <v>137.93333333333334</v>
      </c>
      <c r="G216" s="3">
        <v>146.5</v>
      </c>
      <c r="H216" s="3">
        <v>137.30000000000001</v>
      </c>
      <c r="I216" s="3">
        <v>129.98000000000002</v>
      </c>
      <c r="J216" s="3">
        <v>146.5</v>
      </c>
      <c r="K216" s="3">
        <v>131.69999999999999</v>
      </c>
    </row>
    <row r="217" spans="1:11" hidden="1" x14ac:dyDescent="0.3">
      <c r="A217" t="s">
        <v>34</v>
      </c>
      <c r="B217">
        <v>2018</v>
      </c>
      <c r="C217" t="s">
        <v>46</v>
      </c>
      <c r="D217" s="3">
        <v>135.59999999999997</v>
      </c>
      <c r="E217" s="3">
        <v>163</v>
      </c>
      <c r="F217" s="3">
        <v>144.76666666666668</v>
      </c>
      <c r="G217" s="3">
        <v>146.5</v>
      </c>
      <c r="H217" s="3">
        <v>144.9</v>
      </c>
      <c r="I217" s="3">
        <v>135.69999999999999</v>
      </c>
      <c r="J217" s="3">
        <v>150.1</v>
      </c>
      <c r="K217" s="3">
        <v>136.80000000000001</v>
      </c>
    </row>
    <row r="218" spans="1:11" hidden="1" x14ac:dyDescent="0.3">
      <c r="A218" t="s">
        <v>30</v>
      </c>
      <c r="B218">
        <v>2019</v>
      </c>
      <c r="C218" t="s">
        <v>31</v>
      </c>
      <c r="D218" s="3">
        <v>135.35384615384618</v>
      </c>
      <c r="E218" s="3">
        <v>162.69999999999999</v>
      </c>
      <c r="F218" s="3">
        <v>148.53333333333333</v>
      </c>
      <c r="G218" s="3">
        <v>147.69999999999999</v>
      </c>
      <c r="H218" s="3">
        <v>149.6</v>
      </c>
      <c r="I218" s="3">
        <v>140.26</v>
      </c>
      <c r="J218" s="3">
        <v>155.19999999999999</v>
      </c>
      <c r="K218" s="3">
        <v>141.69999999999999</v>
      </c>
    </row>
    <row r="219" spans="1:11" hidden="1" x14ac:dyDescent="0.3">
      <c r="A219" t="s">
        <v>33</v>
      </c>
      <c r="B219">
        <v>2019</v>
      </c>
      <c r="C219" t="s">
        <v>31</v>
      </c>
      <c r="D219" s="3">
        <v>134.17692307692309</v>
      </c>
      <c r="E219" s="3">
        <v>164.7</v>
      </c>
      <c r="F219" s="3">
        <v>138.16666666666666</v>
      </c>
      <c r="G219" s="3">
        <v>147.69999999999999</v>
      </c>
      <c r="H219" s="3">
        <v>137.80000000000001</v>
      </c>
      <c r="I219" s="3">
        <v>129.41999999999999</v>
      </c>
      <c r="J219" s="3">
        <v>146.6</v>
      </c>
      <c r="K219" s="3">
        <v>131.80000000000001</v>
      </c>
    </row>
    <row r="220" spans="1:11" hidden="1" x14ac:dyDescent="0.3">
      <c r="A220" t="s">
        <v>34</v>
      </c>
      <c r="B220">
        <v>2019</v>
      </c>
      <c r="C220" t="s">
        <v>31</v>
      </c>
      <c r="D220" s="3">
        <v>134.87692307692308</v>
      </c>
      <c r="E220" s="3">
        <v>163.19999999999999</v>
      </c>
      <c r="F220" s="3">
        <v>144.33333333333334</v>
      </c>
      <c r="G220" s="3">
        <v>147.69999999999999</v>
      </c>
      <c r="H220" s="3">
        <v>145.1</v>
      </c>
      <c r="I220" s="3">
        <v>135.18</v>
      </c>
      <c r="J220" s="3">
        <v>150.19999999999999</v>
      </c>
      <c r="K220" s="3">
        <v>136.9</v>
      </c>
    </row>
    <row r="221" spans="1:11" hidden="1" x14ac:dyDescent="0.3">
      <c r="A221" t="s">
        <v>30</v>
      </c>
      <c r="B221">
        <v>2019</v>
      </c>
      <c r="C221" t="s">
        <v>35</v>
      </c>
      <c r="D221" s="3">
        <v>135.3692307692308</v>
      </c>
      <c r="E221" s="3">
        <v>162.80000000000001</v>
      </c>
      <c r="F221" s="3">
        <v>148.83333333333334</v>
      </c>
      <c r="G221" s="3">
        <v>148.5</v>
      </c>
      <c r="H221" s="3">
        <v>149.9</v>
      </c>
      <c r="I221" s="3">
        <v>140.57999999999998</v>
      </c>
      <c r="J221" s="3">
        <v>155.5</v>
      </c>
      <c r="K221" s="3">
        <v>142.19999999999999</v>
      </c>
    </row>
    <row r="222" spans="1:11" hidden="1" x14ac:dyDescent="0.3">
      <c r="A222" t="s">
        <v>33</v>
      </c>
      <c r="B222">
        <v>2019</v>
      </c>
      <c r="C222" t="s">
        <v>35</v>
      </c>
      <c r="D222" s="3">
        <v>134.95384615384617</v>
      </c>
      <c r="E222" s="3">
        <v>164.9</v>
      </c>
      <c r="F222" s="3">
        <v>138.5</v>
      </c>
      <c r="G222" s="3">
        <v>148.5</v>
      </c>
      <c r="H222" s="3">
        <v>138.5</v>
      </c>
      <c r="I222" s="3">
        <v>129.61999999999998</v>
      </c>
      <c r="J222" s="3">
        <v>146.6</v>
      </c>
      <c r="K222" s="3">
        <v>132.4</v>
      </c>
    </row>
    <row r="223" spans="1:11" hidden="1" x14ac:dyDescent="0.3">
      <c r="A223" t="s">
        <v>34</v>
      </c>
      <c r="B223">
        <v>2019</v>
      </c>
      <c r="C223" t="s">
        <v>35</v>
      </c>
      <c r="D223" s="3">
        <v>135.16153846153844</v>
      </c>
      <c r="E223" s="3">
        <v>163.4</v>
      </c>
      <c r="F223" s="3">
        <v>144.63333333333333</v>
      </c>
      <c r="G223" s="3">
        <v>148.5</v>
      </c>
      <c r="H223" s="3">
        <v>145.6</v>
      </c>
      <c r="I223" s="3">
        <v>135.44</v>
      </c>
      <c r="J223" s="3">
        <v>150.30000000000001</v>
      </c>
      <c r="K223" s="3">
        <v>137.4</v>
      </c>
    </row>
    <row r="224" spans="1:11" hidden="1" x14ac:dyDescent="0.3">
      <c r="A224" t="s">
        <v>30</v>
      </c>
      <c r="B224">
        <v>2019</v>
      </c>
      <c r="C224" t="s">
        <v>36</v>
      </c>
      <c r="D224" s="3">
        <v>135.4769230769231</v>
      </c>
      <c r="E224" s="3">
        <v>162.9</v>
      </c>
      <c r="F224" s="3">
        <v>149</v>
      </c>
      <c r="G224" s="3">
        <v>149</v>
      </c>
      <c r="H224" s="3">
        <v>150.4</v>
      </c>
      <c r="I224" s="3">
        <v>140.82</v>
      </c>
      <c r="J224" s="3">
        <v>155.5</v>
      </c>
      <c r="K224" s="3">
        <v>142.4</v>
      </c>
    </row>
    <row r="225" spans="1:11" hidden="1" x14ac:dyDescent="0.3">
      <c r="A225" t="s">
        <v>33</v>
      </c>
      <c r="B225">
        <v>2019</v>
      </c>
      <c r="C225" t="s">
        <v>36</v>
      </c>
      <c r="D225" s="3">
        <v>136.03076923076924</v>
      </c>
      <c r="E225" s="3">
        <v>165.3</v>
      </c>
      <c r="F225" s="3">
        <v>138.76666666666665</v>
      </c>
      <c r="G225" s="3">
        <v>149</v>
      </c>
      <c r="H225" s="3">
        <v>139.19999999999999</v>
      </c>
      <c r="I225" s="3">
        <v>130.19999999999999</v>
      </c>
      <c r="J225" s="3">
        <v>146.69999999999999</v>
      </c>
      <c r="K225" s="3">
        <v>132.80000000000001</v>
      </c>
    </row>
    <row r="226" spans="1:11" hidden="1" x14ac:dyDescent="0.3">
      <c r="A226" t="s">
        <v>34</v>
      </c>
      <c r="B226">
        <v>2019</v>
      </c>
      <c r="C226" t="s">
        <v>36</v>
      </c>
      <c r="D226" s="3">
        <v>135.6076923076923</v>
      </c>
      <c r="E226" s="3">
        <v>163.5</v>
      </c>
      <c r="F226" s="3">
        <v>144.83333333333334</v>
      </c>
      <c r="G226" s="3">
        <v>149</v>
      </c>
      <c r="H226" s="3">
        <v>146.19999999999999</v>
      </c>
      <c r="I226" s="3">
        <v>135.83999999999997</v>
      </c>
      <c r="J226" s="3">
        <v>150.30000000000001</v>
      </c>
      <c r="K226" s="3">
        <v>137.69999999999999</v>
      </c>
    </row>
    <row r="227" spans="1:11" hidden="1" x14ac:dyDescent="0.3">
      <c r="A227" t="s">
        <v>30</v>
      </c>
      <c r="B227">
        <v>2019</v>
      </c>
      <c r="C227" t="s">
        <v>37</v>
      </c>
      <c r="D227" s="2">
        <v>137.18525641025641</v>
      </c>
      <c r="E227" s="2">
        <v>164.35</v>
      </c>
      <c r="F227" s="2">
        <v>144.43611111111113</v>
      </c>
      <c r="G227" s="2">
        <v>149.25</v>
      </c>
      <c r="H227" s="2">
        <v>145.6</v>
      </c>
      <c r="I227" s="2">
        <v>135.85833333333332</v>
      </c>
      <c r="J227" s="2">
        <v>151.69166666666669</v>
      </c>
      <c r="K227" s="2">
        <v>137.9</v>
      </c>
    </row>
    <row r="228" spans="1:11" hidden="1" x14ac:dyDescent="0.3">
      <c r="A228" t="s">
        <v>33</v>
      </c>
      <c r="B228">
        <v>2019</v>
      </c>
      <c r="C228" t="s">
        <v>37</v>
      </c>
      <c r="D228" s="2">
        <v>137.62377136752136</v>
      </c>
      <c r="E228" s="2">
        <v>164.57916666666668</v>
      </c>
      <c r="F228" s="2">
        <v>144.08356481481482</v>
      </c>
      <c r="G228" s="2">
        <v>149.35416666666666</v>
      </c>
      <c r="H228" s="2">
        <v>145.31666666666669</v>
      </c>
      <c r="I228" s="2">
        <v>135.55152777777775</v>
      </c>
      <c r="J228" s="2">
        <v>151.57430555555555</v>
      </c>
      <c r="K228" s="2">
        <v>137.65</v>
      </c>
    </row>
    <row r="229" spans="1:11" hidden="1" x14ac:dyDescent="0.3">
      <c r="A229" t="s">
        <v>34</v>
      </c>
      <c r="B229">
        <v>2019</v>
      </c>
      <c r="C229" t="s">
        <v>37</v>
      </c>
      <c r="D229" s="2">
        <v>138.14049590455841</v>
      </c>
      <c r="E229" s="2">
        <v>164.6357638888889</v>
      </c>
      <c r="F229" s="2">
        <v>144.58775077160496</v>
      </c>
      <c r="G229" s="2">
        <v>149.46701388888889</v>
      </c>
      <c r="H229" s="2">
        <v>145.96805555555557</v>
      </c>
      <c r="I229" s="2">
        <v>136.08082175925924</v>
      </c>
      <c r="J229" s="2">
        <v>152.18883101851853</v>
      </c>
      <c r="K229" s="2">
        <v>138.18749999999997</v>
      </c>
    </row>
    <row r="230" spans="1:11" hidden="1" x14ac:dyDescent="0.3">
      <c r="A230" t="s">
        <v>30</v>
      </c>
      <c r="B230">
        <v>2019</v>
      </c>
      <c r="C230" t="s">
        <v>38</v>
      </c>
      <c r="D230" s="3">
        <v>137.0846153846154</v>
      </c>
      <c r="E230" s="3">
        <v>163.30000000000001</v>
      </c>
      <c r="F230" s="3">
        <v>149.53333333333333</v>
      </c>
      <c r="G230" s="3">
        <v>150.1</v>
      </c>
      <c r="H230" s="3">
        <v>151.30000000000001</v>
      </c>
      <c r="I230" s="3">
        <v>141.28</v>
      </c>
      <c r="J230" s="3">
        <v>156.69999999999999</v>
      </c>
      <c r="K230" s="3">
        <v>142.9</v>
      </c>
    </row>
    <row r="231" spans="1:11" hidden="1" x14ac:dyDescent="0.3">
      <c r="A231" t="s">
        <v>33</v>
      </c>
      <c r="B231">
        <v>2019</v>
      </c>
      <c r="C231" t="s">
        <v>38</v>
      </c>
      <c r="D231" s="3">
        <v>139.34615384615387</v>
      </c>
      <c r="E231" s="3">
        <v>166.2</v>
      </c>
      <c r="F231" s="3">
        <v>139.29999999999998</v>
      </c>
      <c r="G231" s="3">
        <v>150.1</v>
      </c>
      <c r="H231" s="3">
        <v>139.80000000000001</v>
      </c>
      <c r="I231" s="3">
        <v>130.66000000000003</v>
      </c>
      <c r="J231" s="3">
        <v>148</v>
      </c>
      <c r="K231" s="3">
        <v>133.30000000000001</v>
      </c>
    </row>
    <row r="232" spans="1:11" hidden="1" x14ac:dyDescent="0.3">
      <c r="A232" t="s">
        <v>34</v>
      </c>
      <c r="B232">
        <v>2019</v>
      </c>
      <c r="C232" t="s">
        <v>38</v>
      </c>
      <c r="D232" s="3">
        <v>137.83846153846156</v>
      </c>
      <c r="E232" s="3">
        <v>164.1</v>
      </c>
      <c r="F232" s="3">
        <v>145.36666666666667</v>
      </c>
      <c r="G232" s="3">
        <v>150.1</v>
      </c>
      <c r="H232" s="3">
        <v>146.9</v>
      </c>
      <c r="I232" s="3">
        <v>136.29999999999998</v>
      </c>
      <c r="J232" s="3">
        <v>151.6</v>
      </c>
      <c r="K232" s="3">
        <v>138.19999999999999</v>
      </c>
    </row>
    <row r="233" spans="1:11" hidden="1" x14ac:dyDescent="0.3">
      <c r="A233" t="s">
        <v>30</v>
      </c>
      <c r="B233">
        <v>2019</v>
      </c>
      <c r="C233" t="s">
        <v>39</v>
      </c>
      <c r="D233" s="3">
        <v>138.78461538461536</v>
      </c>
      <c r="E233" s="3">
        <v>164.2</v>
      </c>
      <c r="F233" s="3">
        <v>149.53333333333333</v>
      </c>
      <c r="G233" s="3">
        <v>149.4</v>
      </c>
      <c r="H233" s="3">
        <v>151.69999999999999</v>
      </c>
      <c r="I233" s="3">
        <v>141.76</v>
      </c>
      <c r="J233" s="3">
        <v>157.69999999999999</v>
      </c>
      <c r="K233" s="3">
        <v>143.30000000000001</v>
      </c>
    </row>
    <row r="234" spans="1:11" hidden="1" x14ac:dyDescent="0.3">
      <c r="A234" t="s">
        <v>33</v>
      </c>
      <c r="B234">
        <v>2019</v>
      </c>
      <c r="C234" t="s">
        <v>39</v>
      </c>
      <c r="D234" s="3">
        <v>141.0230769230769</v>
      </c>
      <c r="E234" s="3">
        <v>166.7</v>
      </c>
      <c r="F234" s="3">
        <v>139.46666666666667</v>
      </c>
      <c r="G234" s="3">
        <v>149.4</v>
      </c>
      <c r="H234" s="3">
        <v>140.30000000000001</v>
      </c>
      <c r="I234" s="3">
        <v>131.1</v>
      </c>
      <c r="J234" s="3">
        <v>148.9</v>
      </c>
      <c r="K234" s="3">
        <v>133.6</v>
      </c>
    </row>
    <row r="235" spans="1:11" hidden="1" x14ac:dyDescent="0.3">
      <c r="A235" t="s">
        <v>34</v>
      </c>
      <c r="B235">
        <v>2019</v>
      </c>
      <c r="C235" t="s">
        <v>39</v>
      </c>
      <c r="D235" s="3">
        <v>139.54615384615386</v>
      </c>
      <c r="E235" s="3">
        <v>164.9</v>
      </c>
      <c r="F235" s="3">
        <v>145.46666666666667</v>
      </c>
      <c r="G235" s="3">
        <v>149.4</v>
      </c>
      <c r="H235" s="3">
        <v>147.4</v>
      </c>
      <c r="I235" s="3">
        <v>136.69999999999999</v>
      </c>
      <c r="J235" s="3">
        <v>152.5</v>
      </c>
      <c r="K235" s="3">
        <v>138.6</v>
      </c>
    </row>
    <row r="236" spans="1:11" hidden="1" x14ac:dyDescent="0.3">
      <c r="A236" t="s">
        <v>30</v>
      </c>
      <c r="B236">
        <v>2019</v>
      </c>
      <c r="C236" t="s">
        <v>40</v>
      </c>
      <c r="D236" s="3">
        <v>140.53076923076921</v>
      </c>
      <c r="E236" s="3">
        <v>164.5</v>
      </c>
      <c r="F236" s="3">
        <v>149.70000000000002</v>
      </c>
      <c r="G236" s="3">
        <v>150.6</v>
      </c>
      <c r="H236" s="3">
        <v>152.19999999999999</v>
      </c>
      <c r="I236" s="3">
        <v>142.32</v>
      </c>
      <c r="J236" s="3">
        <v>159.1</v>
      </c>
      <c r="K236" s="3">
        <v>144.19999999999999</v>
      </c>
    </row>
    <row r="237" spans="1:11" hidden="1" x14ac:dyDescent="0.3">
      <c r="A237" t="s">
        <v>33</v>
      </c>
      <c r="B237">
        <v>2019</v>
      </c>
      <c r="C237" t="s">
        <v>40</v>
      </c>
      <c r="D237" s="3">
        <v>142.87692307692308</v>
      </c>
      <c r="E237" s="3">
        <v>167.2</v>
      </c>
      <c r="F237" s="3">
        <v>139.76666666666668</v>
      </c>
      <c r="G237" s="3">
        <v>150.6</v>
      </c>
      <c r="H237" s="3">
        <v>140.80000000000001</v>
      </c>
      <c r="I237" s="3">
        <v>131.07999999999998</v>
      </c>
      <c r="J237" s="3">
        <v>150.4</v>
      </c>
      <c r="K237" s="3">
        <v>134.5</v>
      </c>
    </row>
    <row r="238" spans="1:11" hidden="1" x14ac:dyDescent="0.3">
      <c r="A238" t="s">
        <v>34</v>
      </c>
      <c r="B238">
        <v>2019</v>
      </c>
      <c r="C238" t="s">
        <v>40</v>
      </c>
      <c r="D238" s="3">
        <v>141.34615384615384</v>
      </c>
      <c r="E238" s="3">
        <v>165.2</v>
      </c>
      <c r="F238" s="3">
        <v>145.66666666666666</v>
      </c>
      <c r="G238" s="3">
        <v>150.6</v>
      </c>
      <c r="H238" s="3">
        <v>147.9</v>
      </c>
      <c r="I238" s="3">
        <v>137.06</v>
      </c>
      <c r="J238" s="3">
        <v>154</v>
      </c>
      <c r="K238" s="3">
        <v>139.5</v>
      </c>
    </row>
    <row r="239" spans="1:11" hidden="1" x14ac:dyDescent="0.3">
      <c r="A239" t="s">
        <v>30</v>
      </c>
      <c r="B239">
        <v>2019</v>
      </c>
      <c r="C239" t="s">
        <v>41</v>
      </c>
      <c r="D239" s="3">
        <v>141.11538461538464</v>
      </c>
      <c r="E239" s="3">
        <v>165.1</v>
      </c>
      <c r="F239" s="3">
        <v>149.83333333333334</v>
      </c>
      <c r="G239" s="3">
        <v>151.6</v>
      </c>
      <c r="H239" s="3">
        <v>152.69999999999999</v>
      </c>
      <c r="I239" s="3">
        <v>142.95999999999998</v>
      </c>
      <c r="J239" s="3">
        <v>159.69999999999999</v>
      </c>
      <c r="K239" s="3">
        <v>144.9</v>
      </c>
    </row>
    <row r="240" spans="1:11" hidden="1" x14ac:dyDescent="0.3">
      <c r="A240" t="s">
        <v>33</v>
      </c>
      <c r="B240">
        <v>2019</v>
      </c>
      <c r="C240" t="s">
        <v>41</v>
      </c>
      <c r="D240" s="3">
        <v>143.77692307692308</v>
      </c>
      <c r="E240" s="3">
        <v>167.9</v>
      </c>
      <c r="F240" s="3">
        <v>140.06666666666666</v>
      </c>
      <c r="G240" s="3">
        <v>151.6</v>
      </c>
      <c r="H240" s="3">
        <v>141.5</v>
      </c>
      <c r="I240" s="3">
        <v>131.52000000000004</v>
      </c>
      <c r="J240" s="3">
        <v>151.5</v>
      </c>
      <c r="K240" s="3">
        <v>135.30000000000001</v>
      </c>
    </row>
    <row r="241" spans="1:11" hidden="1" x14ac:dyDescent="0.3">
      <c r="A241" t="s">
        <v>34</v>
      </c>
      <c r="B241">
        <v>2019</v>
      </c>
      <c r="C241" t="s">
        <v>41</v>
      </c>
      <c r="D241" s="3">
        <v>142.03846153846155</v>
      </c>
      <c r="E241" s="3">
        <v>165.8</v>
      </c>
      <c r="F241" s="3">
        <v>145.86666666666667</v>
      </c>
      <c r="G241" s="3">
        <v>151.6</v>
      </c>
      <c r="H241" s="3">
        <v>148.5</v>
      </c>
      <c r="I241" s="3">
        <v>137.62</v>
      </c>
      <c r="J241" s="3">
        <v>154.9</v>
      </c>
      <c r="K241" s="3">
        <v>140.19999999999999</v>
      </c>
    </row>
    <row r="242" spans="1:11" hidden="1" x14ac:dyDescent="0.3">
      <c r="A242" t="s">
        <v>30</v>
      </c>
      <c r="B242">
        <v>2019</v>
      </c>
      <c r="C242" t="s">
        <v>42</v>
      </c>
      <c r="D242" s="3">
        <v>142.2076923076923</v>
      </c>
      <c r="E242" s="3">
        <v>165.7</v>
      </c>
      <c r="F242" s="3">
        <v>149.76666666666665</v>
      </c>
      <c r="G242" s="3">
        <v>152.19999999999999</v>
      </c>
      <c r="H242" s="3">
        <v>153.4</v>
      </c>
      <c r="I242" s="3">
        <v>143.46000000000004</v>
      </c>
      <c r="J242" s="3">
        <v>160.19999999999999</v>
      </c>
      <c r="K242" s="3">
        <v>145.4</v>
      </c>
    </row>
    <row r="243" spans="1:11" hidden="1" x14ac:dyDescent="0.3">
      <c r="A243" t="s">
        <v>33</v>
      </c>
      <c r="B243">
        <v>2019</v>
      </c>
      <c r="C243" t="s">
        <v>42</v>
      </c>
      <c r="D243" s="3">
        <v>144.22307692307692</v>
      </c>
      <c r="E243" s="3">
        <v>168.6</v>
      </c>
      <c r="F243" s="3">
        <v>140.26666666666668</v>
      </c>
      <c r="G243" s="3">
        <v>152.19999999999999</v>
      </c>
      <c r="H243" s="3">
        <v>141.9</v>
      </c>
      <c r="I243" s="3">
        <v>132.19999999999999</v>
      </c>
      <c r="J243" s="3">
        <v>151.6</v>
      </c>
      <c r="K243" s="3">
        <v>135.69999999999999</v>
      </c>
    </row>
    <row r="244" spans="1:11" hidden="1" x14ac:dyDescent="0.3">
      <c r="A244" t="s">
        <v>34</v>
      </c>
      <c r="B244">
        <v>2019</v>
      </c>
      <c r="C244" t="s">
        <v>42</v>
      </c>
      <c r="D244" s="3">
        <v>142.89999999999998</v>
      </c>
      <c r="E244" s="3">
        <v>166.5</v>
      </c>
      <c r="F244" s="3">
        <v>145.89999999999998</v>
      </c>
      <c r="G244" s="3">
        <v>152.19999999999999</v>
      </c>
      <c r="H244" s="3">
        <v>149</v>
      </c>
      <c r="I244" s="3">
        <v>138.18</v>
      </c>
      <c r="J244" s="3">
        <v>155.19999999999999</v>
      </c>
      <c r="K244" s="3">
        <v>140.69999999999999</v>
      </c>
    </row>
    <row r="245" spans="1:11" hidden="1" x14ac:dyDescent="0.3">
      <c r="A245" t="s">
        <v>30</v>
      </c>
      <c r="B245">
        <v>2019</v>
      </c>
      <c r="C245" t="s">
        <v>43</v>
      </c>
      <c r="D245" s="3">
        <v>144.37692307692305</v>
      </c>
      <c r="E245" s="3">
        <v>166.3</v>
      </c>
      <c r="F245" s="3">
        <v>149.79999999999998</v>
      </c>
      <c r="G245" s="3">
        <v>153</v>
      </c>
      <c r="H245" s="3">
        <v>153.69999999999999</v>
      </c>
      <c r="I245" s="3">
        <v>143.80000000000001</v>
      </c>
      <c r="J245" s="3">
        <v>160.69999999999999</v>
      </c>
      <c r="K245" s="3">
        <v>145.69999999999999</v>
      </c>
    </row>
    <row r="246" spans="1:11" hidden="1" x14ac:dyDescent="0.3">
      <c r="A246" t="s">
        <v>33</v>
      </c>
      <c r="B246">
        <v>2019</v>
      </c>
      <c r="C246" t="s">
        <v>43</v>
      </c>
      <c r="D246" s="3">
        <v>146.35384615384618</v>
      </c>
      <c r="E246" s="3">
        <v>169.3</v>
      </c>
      <c r="F246" s="3">
        <v>140.73333333333335</v>
      </c>
      <c r="G246" s="3">
        <v>153</v>
      </c>
      <c r="H246" s="3">
        <v>142.4</v>
      </c>
      <c r="I246" s="3">
        <v>132.95999999999998</v>
      </c>
      <c r="J246" s="3">
        <v>151.69999999999999</v>
      </c>
      <c r="K246" s="3">
        <v>136</v>
      </c>
    </row>
    <row r="247" spans="1:11" hidden="1" x14ac:dyDescent="0.3">
      <c r="A247" t="s">
        <v>34</v>
      </c>
      <c r="B247">
        <v>2019</v>
      </c>
      <c r="C247" t="s">
        <v>43</v>
      </c>
      <c r="D247" s="3">
        <v>145.04615384615383</v>
      </c>
      <c r="E247" s="3">
        <v>167.1</v>
      </c>
      <c r="F247" s="3">
        <v>146.13333333333335</v>
      </c>
      <c r="G247" s="3">
        <v>153</v>
      </c>
      <c r="H247" s="3">
        <v>149.4</v>
      </c>
      <c r="I247" s="3">
        <v>138.72</v>
      </c>
      <c r="J247" s="3">
        <v>155.4</v>
      </c>
      <c r="K247" s="3">
        <v>141</v>
      </c>
    </row>
    <row r="248" spans="1:11" hidden="1" x14ac:dyDescent="0.3">
      <c r="A248" t="s">
        <v>30</v>
      </c>
      <c r="B248">
        <v>2019</v>
      </c>
      <c r="C248" t="s">
        <v>45</v>
      </c>
      <c r="D248" s="3">
        <v>146.50769230769231</v>
      </c>
      <c r="E248" s="3">
        <v>167.2</v>
      </c>
      <c r="F248" s="3">
        <v>150.26666666666668</v>
      </c>
      <c r="G248" s="3">
        <v>153.5</v>
      </c>
      <c r="H248" s="3">
        <v>154.30000000000001</v>
      </c>
      <c r="I248" s="3">
        <v>144.22</v>
      </c>
      <c r="J248" s="3">
        <v>160.80000000000001</v>
      </c>
      <c r="K248" s="3">
        <v>146.1</v>
      </c>
    </row>
    <row r="249" spans="1:11" hidden="1" x14ac:dyDescent="0.3">
      <c r="A249" t="s">
        <v>33</v>
      </c>
      <c r="B249">
        <v>2019</v>
      </c>
      <c r="C249" t="s">
        <v>45</v>
      </c>
      <c r="D249" s="3">
        <v>147.99999999999997</v>
      </c>
      <c r="E249" s="3">
        <v>169.9</v>
      </c>
      <c r="F249" s="3">
        <v>141.03333333333333</v>
      </c>
      <c r="G249" s="3">
        <v>153.5</v>
      </c>
      <c r="H249" s="3">
        <v>142.80000000000001</v>
      </c>
      <c r="I249" s="3">
        <v>133.9</v>
      </c>
      <c r="J249" s="3">
        <v>151.80000000000001</v>
      </c>
      <c r="K249" s="3">
        <v>136.30000000000001</v>
      </c>
    </row>
    <row r="250" spans="1:11" hidden="1" x14ac:dyDescent="0.3">
      <c r="A250" t="s">
        <v>34</v>
      </c>
      <c r="B250">
        <v>2019</v>
      </c>
      <c r="C250" t="s">
        <v>45</v>
      </c>
      <c r="D250" s="3">
        <v>146.99230769230769</v>
      </c>
      <c r="E250" s="3">
        <v>167.9</v>
      </c>
      <c r="F250" s="3">
        <v>146.5</v>
      </c>
      <c r="G250" s="3">
        <v>153.5</v>
      </c>
      <c r="H250" s="3">
        <v>149.9</v>
      </c>
      <c r="I250" s="3">
        <v>139.32000000000002</v>
      </c>
      <c r="J250" s="3">
        <v>155.5</v>
      </c>
      <c r="K250" s="3">
        <v>141.30000000000001</v>
      </c>
    </row>
    <row r="251" spans="1:11" hidden="1" x14ac:dyDescent="0.3">
      <c r="A251" t="s">
        <v>30</v>
      </c>
      <c r="B251">
        <v>2019</v>
      </c>
      <c r="C251" t="s">
        <v>46</v>
      </c>
      <c r="D251" s="3">
        <v>149.30769230769226</v>
      </c>
      <c r="E251" s="3">
        <v>167.8</v>
      </c>
      <c r="F251" s="3">
        <v>150.6</v>
      </c>
      <c r="G251" s="3">
        <v>152.80000000000001</v>
      </c>
      <c r="H251" s="3">
        <v>154.80000000000001</v>
      </c>
      <c r="I251" s="3">
        <v>145.24</v>
      </c>
      <c r="J251" s="3">
        <v>161.1</v>
      </c>
      <c r="K251" s="3">
        <v>147.1</v>
      </c>
    </row>
    <row r="252" spans="1:11" hidden="1" x14ac:dyDescent="0.3">
      <c r="A252" t="s">
        <v>33</v>
      </c>
      <c r="B252">
        <v>2019</v>
      </c>
      <c r="C252" t="s">
        <v>46</v>
      </c>
      <c r="D252" s="3">
        <v>150.51538461538462</v>
      </c>
      <c r="E252" s="3">
        <v>170.4</v>
      </c>
      <c r="F252" s="3">
        <v>141.4</v>
      </c>
      <c r="G252" s="3">
        <v>152.80000000000001</v>
      </c>
      <c r="H252" s="3">
        <v>143.19999999999999</v>
      </c>
      <c r="I252" s="3">
        <v>135.11999999999998</v>
      </c>
      <c r="J252" s="3">
        <v>151.9</v>
      </c>
      <c r="K252" s="3">
        <v>137.69999999999999</v>
      </c>
    </row>
    <row r="253" spans="1:11" hidden="1" x14ac:dyDescent="0.3">
      <c r="A253" t="s">
        <v>34</v>
      </c>
      <c r="B253">
        <v>2019</v>
      </c>
      <c r="C253" t="s">
        <v>46</v>
      </c>
      <c r="D253" s="3">
        <v>149.70000000000002</v>
      </c>
      <c r="E253" s="3">
        <v>168.5</v>
      </c>
      <c r="F253" s="3">
        <v>146.86666666666667</v>
      </c>
      <c r="G253" s="3">
        <v>152.80000000000001</v>
      </c>
      <c r="H253" s="3">
        <v>150.4</v>
      </c>
      <c r="I253" s="3">
        <v>140.4</v>
      </c>
      <c r="J253" s="3">
        <v>155.69999999999999</v>
      </c>
      <c r="K253" s="3">
        <v>142.5</v>
      </c>
    </row>
    <row r="254" spans="1:11" hidden="1" x14ac:dyDescent="0.3">
      <c r="A254" t="s">
        <v>30</v>
      </c>
      <c r="B254">
        <v>2020</v>
      </c>
      <c r="C254" t="s">
        <v>31</v>
      </c>
      <c r="D254" s="3">
        <v>149.12307692307692</v>
      </c>
      <c r="E254" s="3">
        <v>168.6</v>
      </c>
      <c r="F254" s="3">
        <v>150.76666666666668</v>
      </c>
      <c r="G254" s="3">
        <v>153.9</v>
      </c>
      <c r="H254" s="3">
        <v>155.69999999999999</v>
      </c>
      <c r="I254" s="3">
        <v>146.19999999999999</v>
      </c>
      <c r="J254" s="3">
        <v>161.69999999999999</v>
      </c>
      <c r="K254" s="3">
        <v>148.1</v>
      </c>
    </row>
    <row r="255" spans="1:11" hidden="1" x14ac:dyDescent="0.3">
      <c r="A255" t="s">
        <v>33</v>
      </c>
      <c r="B255">
        <v>2020</v>
      </c>
      <c r="C255" t="s">
        <v>31</v>
      </c>
      <c r="D255" s="3">
        <v>149.64615384615382</v>
      </c>
      <c r="E255" s="3">
        <v>170.8</v>
      </c>
      <c r="F255" s="3">
        <v>141.70000000000002</v>
      </c>
      <c r="G255" s="3">
        <v>153.9</v>
      </c>
      <c r="H255" s="3">
        <v>143.80000000000001</v>
      </c>
      <c r="I255" s="3">
        <v>136.12</v>
      </c>
      <c r="J255" s="3">
        <v>152.1</v>
      </c>
      <c r="K255" s="3">
        <v>138.4</v>
      </c>
    </row>
    <row r="256" spans="1:11" hidden="1" x14ac:dyDescent="0.3">
      <c r="A256" t="s">
        <v>34</v>
      </c>
      <c r="B256">
        <v>2020</v>
      </c>
      <c r="C256" t="s">
        <v>31</v>
      </c>
      <c r="D256" s="3">
        <v>149.26153846153846</v>
      </c>
      <c r="E256" s="3">
        <v>169.2</v>
      </c>
      <c r="F256" s="3">
        <v>147.06666666666666</v>
      </c>
      <c r="G256" s="3">
        <v>153.9</v>
      </c>
      <c r="H256" s="3">
        <v>151.19999999999999</v>
      </c>
      <c r="I256" s="3">
        <v>141.35999999999999</v>
      </c>
      <c r="J256" s="3">
        <v>156.1</v>
      </c>
      <c r="K256" s="3">
        <v>143.4</v>
      </c>
    </row>
    <row r="257" spans="1:11" hidden="1" x14ac:dyDescent="0.3">
      <c r="A257" t="s">
        <v>30</v>
      </c>
      <c r="B257">
        <v>2020</v>
      </c>
      <c r="C257" t="s">
        <v>35</v>
      </c>
      <c r="D257" s="3">
        <v>146.90769230769229</v>
      </c>
      <c r="E257" s="3">
        <v>169.4</v>
      </c>
      <c r="F257" s="3">
        <v>150.93333333333334</v>
      </c>
      <c r="G257" s="3">
        <v>154.80000000000001</v>
      </c>
      <c r="H257" s="3">
        <v>156.19999999999999</v>
      </c>
      <c r="I257" s="3">
        <v>146.78</v>
      </c>
      <c r="J257" s="3">
        <v>161.9</v>
      </c>
      <c r="K257" s="3">
        <v>148.4</v>
      </c>
    </row>
    <row r="258" spans="1:11" hidden="1" x14ac:dyDescent="0.3">
      <c r="A258" t="s">
        <v>33</v>
      </c>
      <c r="B258">
        <v>2020</v>
      </c>
      <c r="C258" t="s">
        <v>35</v>
      </c>
      <c r="D258" s="3">
        <v>147.43076923076922</v>
      </c>
      <c r="E258" s="3">
        <v>172</v>
      </c>
      <c r="F258" s="3">
        <v>142</v>
      </c>
      <c r="G258" s="3">
        <v>154.80000000000001</v>
      </c>
      <c r="H258" s="3">
        <v>144.4</v>
      </c>
      <c r="I258" s="3">
        <v>137.14000000000001</v>
      </c>
      <c r="J258" s="3">
        <v>152.19999999999999</v>
      </c>
      <c r="K258" s="3">
        <v>138.4</v>
      </c>
    </row>
    <row r="259" spans="1:11" hidden="1" x14ac:dyDescent="0.3">
      <c r="A259" t="s">
        <v>34</v>
      </c>
      <c r="B259">
        <v>2020</v>
      </c>
      <c r="C259" t="s">
        <v>35</v>
      </c>
      <c r="D259" s="3">
        <v>147.04615384615383</v>
      </c>
      <c r="E259" s="3">
        <v>170.1</v>
      </c>
      <c r="F259" s="3">
        <v>147.33333333333334</v>
      </c>
      <c r="G259" s="3">
        <v>154.80000000000001</v>
      </c>
      <c r="H259" s="3">
        <v>151.69999999999999</v>
      </c>
      <c r="I259" s="3">
        <v>142.1</v>
      </c>
      <c r="J259" s="3">
        <v>156.19999999999999</v>
      </c>
      <c r="K259" s="3">
        <v>143.6</v>
      </c>
    </row>
    <row r="260" spans="1:11" hidden="1" x14ac:dyDescent="0.3">
      <c r="A260" t="s">
        <v>30</v>
      </c>
      <c r="B260">
        <v>2020</v>
      </c>
      <c r="C260" t="s">
        <v>36</v>
      </c>
      <c r="D260" s="3">
        <v>145.73846153846151</v>
      </c>
      <c r="E260" s="3">
        <v>170.5</v>
      </c>
      <c r="F260" s="3">
        <v>151.16666666666666</v>
      </c>
      <c r="G260" s="3">
        <v>154.5</v>
      </c>
      <c r="H260" s="3">
        <v>156.69999999999999</v>
      </c>
      <c r="I260" s="3">
        <v>147.4</v>
      </c>
      <c r="J260" s="3">
        <v>161.19999999999999</v>
      </c>
      <c r="K260" s="3">
        <v>148.6</v>
      </c>
    </row>
    <row r="261" spans="1:11" hidden="1" x14ac:dyDescent="0.3">
      <c r="A261" t="s">
        <v>33</v>
      </c>
      <c r="B261">
        <v>2020</v>
      </c>
      <c r="C261" t="s">
        <v>36</v>
      </c>
      <c r="D261" s="3">
        <v>146.03846153846155</v>
      </c>
      <c r="E261" s="3">
        <v>173.3</v>
      </c>
      <c r="F261" s="3">
        <v>142.36666666666667</v>
      </c>
      <c r="G261" s="3">
        <v>154.5</v>
      </c>
      <c r="H261" s="3">
        <v>145</v>
      </c>
      <c r="I261" s="3">
        <v>138</v>
      </c>
      <c r="J261" s="3">
        <v>152.5</v>
      </c>
      <c r="K261" s="3">
        <v>138.69999999999999</v>
      </c>
    </row>
    <row r="262" spans="1:11" hidden="1" x14ac:dyDescent="0.3">
      <c r="A262" t="s">
        <v>34</v>
      </c>
      <c r="B262">
        <v>2020</v>
      </c>
      <c r="C262" t="s">
        <v>36</v>
      </c>
      <c r="D262" s="3">
        <v>145.80000000000001</v>
      </c>
      <c r="E262" s="3">
        <v>171.2</v>
      </c>
      <c r="F262" s="3">
        <v>147.63333333333335</v>
      </c>
      <c r="G262" s="3">
        <v>154.5</v>
      </c>
      <c r="H262" s="3">
        <v>152.30000000000001</v>
      </c>
      <c r="I262" s="3">
        <v>142.82000000000002</v>
      </c>
      <c r="J262" s="3">
        <v>156.1</v>
      </c>
      <c r="K262" s="3">
        <v>143.80000000000001</v>
      </c>
    </row>
    <row r="263" spans="1:11" hidden="1" x14ac:dyDescent="0.3">
      <c r="A263" t="s">
        <v>30</v>
      </c>
      <c r="B263">
        <v>2020</v>
      </c>
      <c r="C263" t="s">
        <v>37</v>
      </c>
      <c r="D263" s="3">
        <v>150.43653846153845</v>
      </c>
      <c r="E263" s="3">
        <v>177.64166666666668</v>
      </c>
      <c r="F263" s="3">
        <v>147.89722222222224</v>
      </c>
      <c r="G263" s="3">
        <v>155.6</v>
      </c>
      <c r="H263" s="3">
        <v>154.30000000000001</v>
      </c>
      <c r="I263" s="3">
        <v>144.33833333333334</v>
      </c>
      <c r="J263" s="3">
        <v>156.79166666666669</v>
      </c>
      <c r="K263" s="3">
        <v>145.24166666666667</v>
      </c>
    </row>
    <row r="264" spans="1:11" hidden="1" x14ac:dyDescent="0.3">
      <c r="A264" t="s">
        <v>33</v>
      </c>
      <c r="B264">
        <v>2020</v>
      </c>
      <c r="C264" t="s">
        <v>37</v>
      </c>
      <c r="D264" s="3">
        <v>152.19022435897438</v>
      </c>
      <c r="E264" s="3">
        <v>178.20347222222225</v>
      </c>
      <c r="F264" s="3">
        <v>147.64143518518517</v>
      </c>
      <c r="G264" s="3">
        <v>155.6</v>
      </c>
      <c r="H264" s="3">
        <v>144.80000000000001</v>
      </c>
      <c r="I264" s="3">
        <v>142.00319444444443</v>
      </c>
      <c r="J264" s="3">
        <v>156.44097222222223</v>
      </c>
      <c r="K264" s="3">
        <v>145.08680555555557</v>
      </c>
    </row>
    <row r="265" spans="1:11" hidden="1" x14ac:dyDescent="0.3">
      <c r="A265" t="s">
        <v>34</v>
      </c>
      <c r="B265">
        <v>2020</v>
      </c>
      <c r="C265" t="s">
        <v>37</v>
      </c>
      <c r="D265" s="3">
        <v>151.22594818376066</v>
      </c>
      <c r="E265" s="3">
        <v>178.76209490740743</v>
      </c>
      <c r="F265" s="3">
        <v>148.11433256172839</v>
      </c>
      <c r="G265" s="3">
        <v>155.6</v>
      </c>
      <c r="H265" s="3">
        <v>150.69999999999999</v>
      </c>
      <c r="I265" s="3">
        <v>143.97846064814817</v>
      </c>
      <c r="J265" s="3">
        <v>157.04438657407408</v>
      </c>
      <c r="K265" s="3">
        <v>145.87737268518518</v>
      </c>
    </row>
    <row r="266" spans="1:11" hidden="1" x14ac:dyDescent="0.3">
      <c r="A266" t="s">
        <v>30</v>
      </c>
      <c r="B266">
        <v>2020</v>
      </c>
      <c r="C266" t="s">
        <v>38</v>
      </c>
      <c r="D266" s="3">
        <v>150.07618745548436</v>
      </c>
      <c r="E266" s="3">
        <v>179.40893614969139</v>
      </c>
      <c r="F266" s="3">
        <v>148.17663805298355</v>
      </c>
      <c r="G266" s="3">
        <v>154.87500000000003</v>
      </c>
      <c r="H266" s="3">
        <v>152.25</v>
      </c>
      <c r="I266" s="3">
        <v>144.14999903549383</v>
      </c>
      <c r="J266" s="3">
        <v>157.28975212191361</v>
      </c>
      <c r="K266" s="3">
        <v>146.23382040895061</v>
      </c>
    </row>
    <row r="267" spans="1:11" hidden="1" x14ac:dyDescent="0.3">
      <c r="A267" t="s">
        <v>33</v>
      </c>
      <c r="B267">
        <v>2020</v>
      </c>
      <c r="C267" t="s">
        <v>38</v>
      </c>
      <c r="D267" s="3">
        <v>150.59407487164648</v>
      </c>
      <c r="E267" s="3">
        <v>180.19301416216567</v>
      </c>
      <c r="F267" s="3">
        <v>147.95802455739883</v>
      </c>
      <c r="G267" s="3">
        <v>154.97291666666669</v>
      </c>
      <c r="H267" s="3">
        <v>151.95416666666668</v>
      </c>
      <c r="I267" s="3">
        <v>144.04249895511833</v>
      </c>
      <c r="J267" s="3">
        <v>156.90556479873973</v>
      </c>
      <c r="K267" s="3">
        <v>146.20330544302985</v>
      </c>
    </row>
    <row r="268" spans="1:11" hidden="1" x14ac:dyDescent="0.3">
      <c r="A268" t="s">
        <v>34</v>
      </c>
      <c r="B268">
        <v>2020</v>
      </c>
      <c r="C268" t="s">
        <v>38</v>
      </c>
      <c r="D268" s="3">
        <v>151.14229905966835</v>
      </c>
      <c r="E268" s="3">
        <v>180.93409867567945</v>
      </c>
      <c r="F268" s="3">
        <v>148.47119327051539</v>
      </c>
      <c r="G268" s="3">
        <v>155.07899305555557</v>
      </c>
      <c r="H268" s="3">
        <v>152.69201388888888</v>
      </c>
      <c r="I268" s="3">
        <v>144.82770720137816</v>
      </c>
      <c r="J268" s="3">
        <v>157.47269519863468</v>
      </c>
      <c r="K268" s="3">
        <v>147.16191422994899</v>
      </c>
    </row>
    <row r="269" spans="1:11" hidden="1" x14ac:dyDescent="0.3">
      <c r="A269" t="s">
        <v>30</v>
      </c>
      <c r="B269">
        <v>2020</v>
      </c>
      <c r="C269" t="s">
        <v>39</v>
      </c>
      <c r="D269" s="3">
        <v>150.07692307692307</v>
      </c>
      <c r="E269" s="3">
        <v>182.4</v>
      </c>
      <c r="F269" s="3">
        <v>152.93333333333331</v>
      </c>
      <c r="G269" s="3">
        <v>154.69999999999999</v>
      </c>
      <c r="H269" s="3">
        <v>158.19999999999999</v>
      </c>
      <c r="I269" s="3">
        <v>148.48000000000002</v>
      </c>
      <c r="J269" s="3">
        <v>161.80000000000001</v>
      </c>
      <c r="K269" s="3">
        <v>151.69999999999999</v>
      </c>
    </row>
    <row r="270" spans="1:11" hidden="1" x14ac:dyDescent="0.3">
      <c r="A270" t="s">
        <v>33</v>
      </c>
      <c r="B270">
        <v>2020</v>
      </c>
      <c r="C270" t="s">
        <v>39</v>
      </c>
      <c r="D270" s="3">
        <v>153.46153846153845</v>
      </c>
      <c r="E270" s="3">
        <v>186.7</v>
      </c>
      <c r="F270" s="3">
        <v>144.29999999999998</v>
      </c>
      <c r="G270" s="3">
        <v>154.69999999999999</v>
      </c>
      <c r="H270" s="3">
        <v>148.1</v>
      </c>
      <c r="I270" s="3">
        <v>140.69999999999999</v>
      </c>
      <c r="J270" s="3">
        <v>152.5</v>
      </c>
      <c r="K270" s="3">
        <v>142</v>
      </c>
    </row>
    <row r="271" spans="1:11" hidden="1" x14ac:dyDescent="0.3">
      <c r="A271" t="s">
        <v>34</v>
      </c>
      <c r="B271">
        <v>2020</v>
      </c>
      <c r="C271" t="s">
        <v>39</v>
      </c>
      <c r="D271" s="3">
        <v>151.2923076923077</v>
      </c>
      <c r="E271" s="3">
        <v>183.5</v>
      </c>
      <c r="F271" s="3">
        <v>149.43333333333331</v>
      </c>
      <c r="G271" s="3">
        <v>154.69999999999999</v>
      </c>
      <c r="H271" s="3">
        <v>154.4</v>
      </c>
      <c r="I271" s="3">
        <v>144.64000000000001</v>
      </c>
      <c r="J271" s="3">
        <v>156.4</v>
      </c>
      <c r="K271" s="3">
        <v>147</v>
      </c>
    </row>
    <row r="272" spans="1:11" hidden="1" x14ac:dyDescent="0.3">
      <c r="A272" t="s">
        <v>30</v>
      </c>
      <c r="B272">
        <v>2020</v>
      </c>
      <c r="C272" t="s">
        <v>40</v>
      </c>
      <c r="D272" s="3">
        <v>150.07692307692307</v>
      </c>
      <c r="E272" s="3">
        <v>182.4</v>
      </c>
      <c r="F272" s="3">
        <v>152.93333333333331</v>
      </c>
      <c r="G272" s="3">
        <v>154.69999999999999</v>
      </c>
      <c r="H272" s="3">
        <v>158.19999999999999</v>
      </c>
      <c r="I272" s="3">
        <v>148.48000000000002</v>
      </c>
      <c r="J272" s="3">
        <v>161.80000000000001</v>
      </c>
      <c r="K272" s="3">
        <v>151.69999999999999</v>
      </c>
    </row>
    <row r="273" spans="1:11" hidden="1" x14ac:dyDescent="0.3">
      <c r="A273" t="s">
        <v>33</v>
      </c>
      <c r="B273">
        <v>2020</v>
      </c>
      <c r="C273" t="s">
        <v>40</v>
      </c>
      <c r="D273" s="3">
        <v>153.46153846153845</v>
      </c>
      <c r="E273" s="3">
        <v>186.7</v>
      </c>
      <c r="F273" s="3">
        <v>144.29999999999998</v>
      </c>
      <c r="G273" s="3">
        <v>154.69999999999999</v>
      </c>
      <c r="H273" s="3">
        <v>148.1</v>
      </c>
      <c r="I273" s="3">
        <v>140.69999999999999</v>
      </c>
      <c r="J273" s="3">
        <v>152.5</v>
      </c>
      <c r="K273" s="3">
        <v>142</v>
      </c>
    </row>
    <row r="274" spans="1:11" hidden="1" x14ac:dyDescent="0.3">
      <c r="A274" t="s">
        <v>34</v>
      </c>
      <c r="B274">
        <v>2020</v>
      </c>
      <c r="C274" t="s">
        <v>40</v>
      </c>
      <c r="D274" s="3">
        <v>151.2923076923077</v>
      </c>
      <c r="E274" s="3">
        <v>183.5</v>
      </c>
      <c r="F274" s="3">
        <v>149.43333333333331</v>
      </c>
      <c r="G274" s="3">
        <v>154.69999999999999</v>
      </c>
      <c r="H274" s="3">
        <v>154.4</v>
      </c>
      <c r="I274" s="3">
        <v>144.64000000000001</v>
      </c>
      <c r="J274" s="3">
        <v>156.4</v>
      </c>
      <c r="K274" s="3">
        <v>147</v>
      </c>
    </row>
    <row r="275" spans="1:11" hidden="1" x14ac:dyDescent="0.3">
      <c r="A275" t="s">
        <v>30</v>
      </c>
      <c r="B275">
        <v>2020</v>
      </c>
      <c r="C275" t="s">
        <v>41</v>
      </c>
      <c r="D275" s="3">
        <v>152.19999999999999</v>
      </c>
      <c r="E275" s="3">
        <v>180.9</v>
      </c>
      <c r="F275" s="3">
        <v>152.9</v>
      </c>
      <c r="G275" s="3">
        <v>155.5</v>
      </c>
      <c r="H275" s="3">
        <v>158.80000000000001</v>
      </c>
      <c r="I275" s="3">
        <v>149.42000000000002</v>
      </c>
      <c r="J275" s="3">
        <v>162.69999999999999</v>
      </c>
      <c r="K275" s="3">
        <v>153</v>
      </c>
    </row>
    <row r="276" spans="1:11" hidden="1" x14ac:dyDescent="0.3">
      <c r="A276" t="s">
        <v>33</v>
      </c>
      <c r="B276">
        <v>2020</v>
      </c>
      <c r="C276" t="s">
        <v>41</v>
      </c>
      <c r="D276" s="3">
        <v>155.76153846153846</v>
      </c>
      <c r="E276" s="3">
        <v>187.2</v>
      </c>
      <c r="F276" s="3">
        <v>144.33333333333334</v>
      </c>
      <c r="G276" s="3">
        <v>155.5</v>
      </c>
      <c r="H276" s="3">
        <v>148.69999999999999</v>
      </c>
      <c r="I276" s="3">
        <v>142.62000000000003</v>
      </c>
      <c r="J276" s="3">
        <v>155.5</v>
      </c>
      <c r="K276" s="3">
        <v>144.80000000000001</v>
      </c>
    </row>
    <row r="277" spans="1:11" hidden="1" x14ac:dyDescent="0.3">
      <c r="A277" t="s">
        <v>34</v>
      </c>
      <c r="B277">
        <v>2020</v>
      </c>
      <c r="C277" t="s">
        <v>41</v>
      </c>
      <c r="D277" s="3">
        <v>153.47692307692307</v>
      </c>
      <c r="E277" s="3">
        <v>182.6</v>
      </c>
      <c r="F277" s="3">
        <v>149.4</v>
      </c>
      <c r="G277" s="3">
        <v>155.5</v>
      </c>
      <c r="H277" s="3">
        <v>155</v>
      </c>
      <c r="I277" s="3">
        <v>146.04000000000002</v>
      </c>
      <c r="J277" s="3">
        <v>158.5</v>
      </c>
      <c r="K277" s="3">
        <v>149</v>
      </c>
    </row>
    <row r="278" spans="1:11" hidden="1" x14ac:dyDescent="0.3">
      <c r="A278" t="s">
        <v>30</v>
      </c>
      <c r="B278">
        <v>2020</v>
      </c>
      <c r="C278" t="s">
        <v>42</v>
      </c>
      <c r="D278" s="3">
        <v>152.87692307692308</v>
      </c>
      <c r="E278" s="3">
        <v>182.9</v>
      </c>
      <c r="F278" s="3">
        <v>153.29999999999998</v>
      </c>
      <c r="G278" s="3">
        <v>156.30000000000001</v>
      </c>
      <c r="H278" s="3">
        <v>159.1</v>
      </c>
      <c r="I278" s="3">
        <v>150.56</v>
      </c>
      <c r="J278" s="3">
        <v>161.1</v>
      </c>
      <c r="K278" s="3">
        <v>153.69999999999999</v>
      </c>
    </row>
    <row r="279" spans="1:11" hidden="1" x14ac:dyDescent="0.3">
      <c r="A279" t="s">
        <v>33</v>
      </c>
      <c r="B279">
        <v>2020</v>
      </c>
      <c r="C279" t="s">
        <v>42</v>
      </c>
      <c r="D279" s="3">
        <v>157.04615384615386</v>
      </c>
      <c r="E279" s="3">
        <v>188.7</v>
      </c>
      <c r="F279" s="3">
        <v>144.86666666666667</v>
      </c>
      <c r="G279" s="3">
        <v>156.30000000000001</v>
      </c>
      <c r="H279" s="3">
        <v>150</v>
      </c>
      <c r="I279" s="3">
        <v>143.85999999999999</v>
      </c>
      <c r="J279" s="3">
        <v>154.9</v>
      </c>
      <c r="K279" s="3">
        <v>146</v>
      </c>
    </row>
    <row r="280" spans="1:11" hidden="1" x14ac:dyDescent="0.3">
      <c r="A280" t="s">
        <v>34</v>
      </c>
      <c r="B280">
        <v>2020</v>
      </c>
      <c r="C280" t="s">
        <v>42</v>
      </c>
      <c r="D280" s="3">
        <v>154.38461538461539</v>
      </c>
      <c r="E280" s="3">
        <v>184.4</v>
      </c>
      <c r="F280" s="3">
        <v>149.9</v>
      </c>
      <c r="G280" s="3">
        <v>156.30000000000001</v>
      </c>
      <c r="H280" s="3">
        <v>155.6</v>
      </c>
      <c r="I280" s="3">
        <v>147.24</v>
      </c>
      <c r="J280" s="3">
        <v>157.5</v>
      </c>
      <c r="K280" s="3">
        <v>150</v>
      </c>
    </row>
    <row r="281" spans="1:11" hidden="1" x14ac:dyDescent="0.3">
      <c r="A281" t="s">
        <v>30</v>
      </c>
      <c r="B281">
        <v>2020</v>
      </c>
      <c r="C281" t="s">
        <v>43</v>
      </c>
      <c r="D281" s="3">
        <v>156.22307692307692</v>
      </c>
      <c r="E281" s="3">
        <v>182.7</v>
      </c>
      <c r="F281" s="3">
        <v>153.76666666666665</v>
      </c>
      <c r="G281" s="3">
        <v>156.5</v>
      </c>
      <c r="H281" s="3">
        <v>159.5</v>
      </c>
      <c r="I281" s="3">
        <v>150.76</v>
      </c>
      <c r="J281" s="3">
        <v>162.5</v>
      </c>
      <c r="K281" s="3">
        <v>154.30000000000001</v>
      </c>
    </row>
    <row r="282" spans="1:11" hidden="1" x14ac:dyDescent="0.3">
      <c r="A282" t="s">
        <v>33</v>
      </c>
      <c r="B282">
        <v>2020</v>
      </c>
      <c r="C282" t="s">
        <v>43</v>
      </c>
      <c r="D282" s="3">
        <v>160.01538461538459</v>
      </c>
      <c r="E282" s="3">
        <v>188.7</v>
      </c>
      <c r="F282" s="3">
        <v>144.96666666666667</v>
      </c>
      <c r="G282" s="3">
        <v>156.5</v>
      </c>
      <c r="H282" s="3">
        <v>151</v>
      </c>
      <c r="I282" s="3">
        <v>143.54000000000002</v>
      </c>
      <c r="J282" s="3">
        <v>155.69999999999999</v>
      </c>
      <c r="K282" s="3">
        <v>146.19999999999999</v>
      </c>
    </row>
    <row r="283" spans="1:11" hidden="1" x14ac:dyDescent="0.3">
      <c r="A283" t="s">
        <v>34</v>
      </c>
      <c r="B283">
        <v>2020</v>
      </c>
      <c r="C283" t="s">
        <v>43</v>
      </c>
      <c r="D283" s="3">
        <v>157.5846153846154</v>
      </c>
      <c r="E283" s="3">
        <v>184.3</v>
      </c>
      <c r="F283" s="3">
        <v>150.19999999999999</v>
      </c>
      <c r="G283" s="3">
        <v>156.5</v>
      </c>
      <c r="H283" s="3">
        <v>156.30000000000001</v>
      </c>
      <c r="I283" s="3">
        <v>147.18</v>
      </c>
      <c r="J283" s="3">
        <v>158.5</v>
      </c>
      <c r="K283" s="3">
        <v>150.4</v>
      </c>
    </row>
    <row r="284" spans="1:11" hidden="1" x14ac:dyDescent="0.3">
      <c r="A284" t="s">
        <v>30</v>
      </c>
      <c r="B284">
        <v>2020</v>
      </c>
      <c r="C284" t="s">
        <v>45</v>
      </c>
      <c r="D284" s="3">
        <v>160.1846153846154</v>
      </c>
      <c r="E284" s="3">
        <v>183.4</v>
      </c>
      <c r="F284" s="3">
        <v>154.26666666666668</v>
      </c>
      <c r="G284" s="3">
        <v>158</v>
      </c>
      <c r="H284" s="3">
        <v>160.4</v>
      </c>
      <c r="I284" s="3">
        <v>151.24</v>
      </c>
      <c r="J284" s="3">
        <v>161.6</v>
      </c>
      <c r="K284" s="3">
        <v>154.5</v>
      </c>
    </row>
    <row r="285" spans="1:11" hidden="1" x14ac:dyDescent="0.3">
      <c r="A285" t="s">
        <v>33</v>
      </c>
      <c r="B285">
        <v>2020</v>
      </c>
      <c r="C285" t="s">
        <v>45</v>
      </c>
      <c r="D285" s="3">
        <v>163.1307692307692</v>
      </c>
      <c r="E285" s="3">
        <v>188.8</v>
      </c>
      <c r="F285" s="3">
        <v>145.43333333333334</v>
      </c>
      <c r="G285" s="3">
        <v>158</v>
      </c>
      <c r="H285" s="3">
        <v>152</v>
      </c>
      <c r="I285" s="3">
        <v>143.97999999999999</v>
      </c>
      <c r="J285" s="3">
        <v>156.4</v>
      </c>
      <c r="K285" s="3">
        <v>146.6</v>
      </c>
    </row>
    <row r="286" spans="1:11" hidden="1" x14ac:dyDescent="0.3">
      <c r="A286" t="s">
        <v>34</v>
      </c>
      <c r="B286">
        <v>2020</v>
      </c>
      <c r="C286" t="s">
        <v>45</v>
      </c>
      <c r="D286" s="3">
        <v>161.19999999999999</v>
      </c>
      <c r="E286" s="3">
        <v>184.8</v>
      </c>
      <c r="F286" s="3">
        <v>150.66666666666669</v>
      </c>
      <c r="G286" s="3">
        <v>158</v>
      </c>
      <c r="H286" s="3">
        <v>157.19999999999999</v>
      </c>
      <c r="I286" s="3">
        <v>147.69999999999999</v>
      </c>
      <c r="J286" s="3">
        <v>158.6</v>
      </c>
      <c r="K286" s="3">
        <v>150.69999999999999</v>
      </c>
    </row>
    <row r="287" spans="1:11" hidden="1" x14ac:dyDescent="0.3">
      <c r="A287" t="s">
        <v>30</v>
      </c>
      <c r="B287">
        <v>2020</v>
      </c>
      <c r="C287" t="s">
        <v>46</v>
      </c>
      <c r="D287" s="3">
        <v>161.57692307692307</v>
      </c>
      <c r="E287" s="3">
        <v>183.6</v>
      </c>
      <c r="F287" s="3">
        <v>154.96666666666667</v>
      </c>
      <c r="G287" s="3">
        <v>158.4</v>
      </c>
      <c r="H287" s="3">
        <v>161.6</v>
      </c>
      <c r="I287" s="3">
        <v>151.80000000000001</v>
      </c>
      <c r="J287" s="3">
        <v>162.9</v>
      </c>
      <c r="K287" s="3">
        <v>155.19999999999999</v>
      </c>
    </row>
    <row r="288" spans="1:11" hidden="1" x14ac:dyDescent="0.3">
      <c r="A288" t="s">
        <v>33</v>
      </c>
      <c r="B288">
        <v>2020</v>
      </c>
      <c r="C288" t="s">
        <v>46</v>
      </c>
      <c r="D288" s="3">
        <v>163.49230769230769</v>
      </c>
      <c r="E288" s="3">
        <v>190.2</v>
      </c>
      <c r="F288" s="3">
        <v>146.06666666666669</v>
      </c>
      <c r="G288" s="3">
        <v>158.4</v>
      </c>
      <c r="H288" s="3">
        <v>152.9</v>
      </c>
      <c r="I288" s="3">
        <v>144.22</v>
      </c>
      <c r="J288" s="3">
        <v>156.9</v>
      </c>
      <c r="K288" s="3">
        <v>146.9</v>
      </c>
    </row>
    <row r="289" spans="1:11" hidden="1" x14ac:dyDescent="0.3">
      <c r="A289" t="s">
        <v>34</v>
      </c>
      <c r="B289">
        <v>2020</v>
      </c>
      <c r="C289" t="s">
        <v>46</v>
      </c>
      <c r="D289" s="3">
        <v>162.23846153846154</v>
      </c>
      <c r="E289" s="3">
        <v>185.4</v>
      </c>
      <c r="F289" s="3">
        <v>151.33333333333334</v>
      </c>
      <c r="G289" s="3">
        <v>158.4</v>
      </c>
      <c r="H289" s="3">
        <v>158.30000000000001</v>
      </c>
      <c r="I289" s="3">
        <v>148.12</v>
      </c>
      <c r="J289" s="3">
        <v>159.4</v>
      </c>
      <c r="K289" s="3">
        <v>151.19999999999999</v>
      </c>
    </row>
    <row r="290" spans="1:11" x14ac:dyDescent="0.3">
      <c r="A290" t="s">
        <v>30</v>
      </c>
      <c r="B290">
        <v>2021</v>
      </c>
      <c r="C290" t="s">
        <v>31</v>
      </c>
      <c r="D290" s="3">
        <v>158.89999999999998</v>
      </c>
      <c r="E290" s="3">
        <v>184.6</v>
      </c>
      <c r="F290" s="3">
        <v>155.56666666666666</v>
      </c>
      <c r="G290" s="3">
        <v>157.69999999999999</v>
      </c>
      <c r="H290" s="3">
        <v>162.5</v>
      </c>
      <c r="I290" s="3">
        <v>152.71999999999997</v>
      </c>
      <c r="J290" s="3">
        <v>163.5</v>
      </c>
      <c r="K290" s="3">
        <v>155.9</v>
      </c>
    </row>
    <row r="291" spans="1:11" hidden="1" x14ac:dyDescent="0.3">
      <c r="A291" t="s">
        <v>33</v>
      </c>
      <c r="B291">
        <v>2021</v>
      </c>
      <c r="C291" t="s">
        <v>31</v>
      </c>
      <c r="D291" s="3">
        <v>161.30769230769232</v>
      </c>
      <c r="E291" s="3">
        <v>191.8</v>
      </c>
      <c r="F291" s="3">
        <v>146.66666666666666</v>
      </c>
      <c r="G291" s="3">
        <v>157.69999999999999</v>
      </c>
      <c r="H291" s="3">
        <v>154.1</v>
      </c>
      <c r="I291" s="3">
        <v>145.71999999999997</v>
      </c>
      <c r="J291" s="3">
        <v>156.1</v>
      </c>
      <c r="K291" s="3">
        <v>147.6</v>
      </c>
    </row>
    <row r="292" spans="1:11" hidden="1" x14ac:dyDescent="0.3">
      <c r="A292" t="s">
        <v>34</v>
      </c>
      <c r="B292">
        <v>2021</v>
      </c>
      <c r="C292" t="s">
        <v>31</v>
      </c>
      <c r="D292" s="3">
        <v>159.73076923076923</v>
      </c>
      <c r="E292" s="3">
        <v>186.5</v>
      </c>
      <c r="F292" s="3">
        <v>151.93333333333334</v>
      </c>
      <c r="G292" s="3">
        <v>157.69999999999999</v>
      </c>
      <c r="H292" s="3">
        <v>159.30000000000001</v>
      </c>
      <c r="I292" s="3">
        <v>149.24</v>
      </c>
      <c r="J292" s="3">
        <v>159.19999999999999</v>
      </c>
      <c r="K292" s="3">
        <v>151.9</v>
      </c>
    </row>
    <row r="293" spans="1:11" x14ac:dyDescent="0.3">
      <c r="A293" t="s">
        <v>30</v>
      </c>
      <c r="B293">
        <v>2021</v>
      </c>
      <c r="C293" t="s">
        <v>35</v>
      </c>
      <c r="D293" s="3">
        <v>155.7923076923077</v>
      </c>
      <c r="E293" s="3">
        <v>186.5</v>
      </c>
      <c r="F293" s="3">
        <v>157.13333333333333</v>
      </c>
      <c r="G293" s="3">
        <v>159.80000000000001</v>
      </c>
      <c r="H293" s="3">
        <v>164.3</v>
      </c>
      <c r="I293" s="3">
        <v>154.32000000000002</v>
      </c>
      <c r="J293" s="3">
        <v>163.6</v>
      </c>
      <c r="K293" s="3">
        <v>157.19999999999999</v>
      </c>
    </row>
    <row r="294" spans="1:11" hidden="1" x14ac:dyDescent="0.3">
      <c r="A294" t="s">
        <v>33</v>
      </c>
      <c r="B294">
        <v>2021</v>
      </c>
      <c r="C294" t="s">
        <v>35</v>
      </c>
      <c r="D294" s="3">
        <v>158.92307692307693</v>
      </c>
      <c r="E294" s="3">
        <v>193.3</v>
      </c>
      <c r="F294" s="3">
        <v>148.06666666666666</v>
      </c>
      <c r="G294" s="3">
        <v>159.80000000000001</v>
      </c>
      <c r="H294" s="3">
        <v>156.30000000000001</v>
      </c>
      <c r="I294" s="3">
        <v>148.02000000000004</v>
      </c>
      <c r="J294" s="3">
        <v>156.6</v>
      </c>
      <c r="K294" s="3">
        <v>149.30000000000001</v>
      </c>
    </row>
    <row r="295" spans="1:11" hidden="1" x14ac:dyDescent="0.3">
      <c r="A295" t="s">
        <v>34</v>
      </c>
      <c r="B295">
        <v>2021</v>
      </c>
      <c r="C295" t="s">
        <v>35</v>
      </c>
      <c r="D295" s="3">
        <v>156.8692307692308</v>
      </c>
      <c r="E295" s="3">
        <v>188.3</v>
      </c>
      <c r="F295" s="3">
        <v>153.46666666666667</v>
      </c>
      <c r="G295" s="3">
        <v>159.80000000000001</v>
      </c>
      <c r="H295" s="3">
        <v>161.30000000000001</v>
      </c>
      <c r="I295" s="3">
        <v>151.14000000000001</v>
      </c>
      <c r="J295" s="3">
        <v>159.5</v>
      </c>
      <c r="K295" s="3">
        <v>153.4</v>
      </c>
    </row>
    <row r="296" spans="1:11" x14ac:dyDescent="0.3">
      <c r="A296" t="s">
        <v>30</v>
      </c>
      <c r="B296">
        <v>2021</v>
      </c>
      <c r="C296" t="s">
        <v>36</v>
      </c>
      <c r="D296" s="3">
        <v>155.82307692307694</v>
      </c>
      <c r="E296" s="3">
        <v>186.1</v>
      </c>
      <c r="F296" s="3">
        <v>157.63333333333333</v>
      </c>
      <c r="G296" s="3">
        <v>159.85</v>
      </c>
      <c r="H296" s="3">
        <v>164.6</v>
      </c>
      <c r="I296" s="3">
        <v>154.60000000000002</v>
      </c>
      <c r="J296" s="3">
        <v>163.80000000000001</v>
      </c>
      <c r="K296" s="3">
        <v>157.30000000000001</v>
      </c>
    </row>
    <row r="297" spans="1:11" hidden="1" x14ac:dyDescent="0.3">
      <c r="A297" t="s">
        <v>33</v>
      </c>
      <c r="B297">
        <v>2021</v>
      </c>
      <c r="C297" t="s">
        <v>36</v>
      </c>
      <c r="D297" s="3">
        <v>158.80769230769226</v>
      </c>
      <c r="E297" s="3">
        <v>193.5</v>
      </c>
      <c r="F297" s="3">
        <v>148.79999999999998</v>
      </c>
      <c r="G297" s="3">
        <v>159.9</v>
      </c>
      <c r="H297" s="3">
        <v>156.9</v>
      </c>
      <c r="I297" s="3">
        <v>149.44</v>
      </c>
      <c r="J297" s="3">
        <v>157.6</v>
      </c>
      <c r="K297" s="3">
        <v>150</v>
      </c>
    </row>
    <row r="298" spans="1:11" hidden="1" x14ac:dyDescent="0.3">
      <c r="A298" t="s">
        <v>34</v>
      </c>
      <c r="B298">
        <v>2021</v>
      </c>
      <c r="C298" t="s">
        <v>36</v>
      </c>
      <c r="D298" s="3">
        <v>156.87692307692308</v>
      </c>
      <c r="E298" s="3">
        <v>188.1</v>
      </c>
      <c r="F298" s="3">
        <v>154.03333333333333</v>
      </c>
      <c r="G298" s="3">
        <v>159.9</v>
      </c>
      <c r="H298" s="3">
        <v>161.69999999999999</v>
      </c>
      <c r="I298" s="3">
        <v>151.85999999999999</v>
      </c>
      <c r="J298" s="3">
        <v>160.19999999999999</v>
      </c>
      <c r="K298" s="3">
        <v>153.80000000000001</v>
      </c>
    </row>
    <row r="299" spans="1:11" x14ac:dyDescent="0.3">
      <c r="A299" t="s">
        <v>30</v>
      </c>
      <c r="B299">
        <v>2021</v>
      </c>
      <c r="C299" t="s">
        <v>37</v>
      </c>
      <c r="D299" s="3">
        <v>157.65384615384616</v>
      </c>
      <c r="E299" s="3">
        <v>186.8</v>
      </c>
      <c r="F299" s="3">
        <v>158.56666666666663</v>
      </c>
      <c r="G299" s="3">
        <v>160.65</v>
      </c>
      <c r="H299" s="3">
        <v>165.3</v>
      </c>
      <c r="I299" s="3">
        <v>155.28</v>
      </c>
      <c r="J299" s="3">
        <v>164.1</v>
      </c>
      <c r="K299" s="3">
        <v>158</v>
      </c>
    </row>
    <row r="300" spans="1:11" hidden="1" x14ac:dyDescent="0.3">
      <c r="A300" t="s">
        <v>33</v>
      </c>
      <c r="B300">
        <v>2021</v>
      </c>
      <c r="C300" t="s">
        <v>37</v>
      </c>
      <c r="D300" s="3">
        <v>160.73846153846154</v>
      </c>
      <c r="E300" s="3">
        <v>194.4</v>
      </c>
      <c r="F300" s="3">
        <v>149.53333333333333</v>
      </c>
      <c r="G300" s="3">
        <v>161.4</v>
      </c>
      <c r="H300" s="3">
        <v>157.5</v>
      </c>
      <c r="I300" s="3">
        <v>150.06</v>
      </c>
      <c r="J300" s="3">
        <v>157.6</v>
      </c>
      <c r="K300" s="3">
        <v>150.5</v>
      </c>
    </row>
    <row r="301" spans="1:11" hidden="1" x14ac:dyDescent="0.3">
      <c r="A301" t="s">
        <v>34</v>
      </c>
      <c r="B301">
        <v>2021</v>
      </c>
      <c r="C301" t="s">
        <v>37</v>
      </c>
      <c r="D301" s="3">
        <v>158.77692307692308</v>
      </c>
      <c r="E301" s="3">
        <v>188.8</v>
      </c>
      <c r="F301" s="3">
        <v>154.86666666666667</v>
      </c>
      <c r="G301" s="3">
        <v>161.4</v>
      </c>
      <c r="H301" s="3">
        <v>162.30000000000001</v>
      </c>
      <c r="I301" s="3">
        <v>152.52000000000001</v>
      </c>
      <c r="J301" s="3">
        <v>160.30000000000001</v>
      </c>
      <c r="K301" s="3">
        <v>154.4</v>
      </c>
    </row>
    <row r="302" spans="1:11" x14ac:dyDescent="0.3">
      <c r="A302" t="s">
        <v>30</v>
      </c>
      <c r="B302">
        <v>2021</v>
      </c>
      <c r="C302" t="s">
        <v>38</v>
      </c>
      <c r="D302" s="3">
        <v>161.17692307692306</v>
      </c>
      <c r="E302" s="3">
        <v>189.6</v>
      </c>
      <c r="F302" s="3">
        <v>163.46666666666667</v>
      </c>
      <c r="G302" s="3">
        <v>161.6</v>
      </c>
      <c r="H302" s="3">
        <v>169.1</v>
      </c>
      <c r="I302" s="3">
        <v>158.6</v>
      </c>
      <c r="J302" s="3">
        <v>167.6</v>
      </c>
      <c r="K302" s="3">
        <v>161.1</v>
      </c>
    </row>
    <row r="303" spans="1:11" hidden="1" x14ac:dyDescent="0.3">
      <c r="A303" t="s">
        <v>33</v>
      </c>
      <c r="B303">
        <v>2021</v>
      </c>
      <c r="C303" t="s">
        <v>38</v>
      </c>
      <c r="D303" s="3">
        <v>163.43846153846155</v>
      </c>
      <c r="E303" s="3">
        <v>198.2</v>
      </c>
      <c r="F303" s="3">
        <v>150.26666666666665</v>
      </c>
      <c r="G303" s="3">
        <v>161.6</v>
      </c>
      <c r="H303" s="3">
        <v>160.4</v>
      </c>
      <c r="I303" s="3">
        <v>152.14000000000001</v>
      </c>
      <c r="J303" s="3">
        <v>156.6</v>
      </c>
      <c r="K303" s="3">
        <v>152.30000000000001</v>
      </c>
    </row>
    <row r="304" spans="1:11" hidden="1" x14ac:dyDescent="0.3">
      <c r="A304" t="s">
        <v>34</v>
      </c>
      <c r="B304">
        <v>2021</v>
      </c>
      <c r="C304" t="s">
        <v>38</v>
      </c>
      <c r="D304" s="3">
        <v>161.9769230769231</v>
      </c>
      <c r="E304" s="3">
        <v>191.9</v>
      </c>
      <c r="F304" s="3">
        <v>158.1</v>
      </c>
      <c r="G304" s="3">
        <v>161.6</v>
      </c>
      <c r="H304" s="3">
        <v>165.8</v>
      </c>
      <c r="I304" s="3">
        <v>155.47999999999999</v>
      </c>
      <c r="J304" s="3">
        <v>161.19999999999999</v>
      </c>
      <c r="K304" s="3">
        <v>156.80000000000001</v>
      </c>
    </row>
    <row r="305" spans="1:11" x14ac:dyDescent="0.3">
      <c r="A305" t="s">
        <v>30</v>
      </c>
      <c r="B305">
        <v>2021</v>
      </c>
      <c r="C305" t="s">
        <v>39</v>
      </c>
      <c r="D305" s="3">
        <v>163.27692307692308</v>
      </c>
      <c r="E305" s="3">
        <v>189.1</v>
      </c>
      <c r="F305" s="3">
        <v>163.26666666666668</v>
      </c>
      <c r="G305" s="3">
        <v>160.5</v>
      </c>
      <c r="H305" s="3">
        <v>169.7</v>
      </c>
      <c r="I305" s="3">
        <v>159.06</v>
      </c>
      <c r="J305" s="3">
        <v>166.8</v>
      </c>
      <c r="K305" s="3">
        <v>161.5</v>
      </c>
    </row>
    <row r="306" spans="1:11" hidden="1" x14ac:dyDescent="0.3">
      <c r="A306" t="s">
        <v>33</v>
      </c>
      <c r="B306">
        <v>2021</v>
      </c>
      <c r="C306" t="s">
        <v>39</v>
      </c>
      <c r="D306" s="3">
        <v>165.7076923076923</v>
      </c>
      <c r="E306" s="3">
        <v>195.6</v>
      </c>
      <c r="F306" s="3">
        <v>150.86666666666667</v>
      </c>
      <c r="G306" s="3">
        <v>160.5</v>
      </c>
      <c r="H306" s="3">
        <v>160.80000000000001</v>
      </c>
      <c r="I306" s="3">
        <v>152.41999999999999</v>
      </c>
      <c r="J306" s="3">
        <v>158.1</v>
      </c>
      <c r="K306" s="3">
        <v>153.4</v>
      </c>
    </row>
    <row r="307" spans="1:11" hidden="1" x14ac:dyDescent="0.3">
      <c r="A307" t="s">
        <v>34</v>
      </c>
      <c r="B307">
        <v>2021</v>
      </c>
      <c r="C307" t="s">
        <v>39</v>
      </c>
      <c r="D307" s="3">
        <v>164.14615384615385</v>
      </c>
      <c r="E307" s="3">
        <v>190.8</v>
      </c>
      <c r="F307" s="3">
        <v>158.23333333333332</v>
      </c>
      <c r="G307" s="3">
        <v>160.5</v>
      </c>
      <c r="H307" s="3">
        <v>166.3</v>
      </c>
      <c r="I307" s="3">
        <v>155.80000000000001</v>
      </c>
      <c r="J307" s="3">
        <v>161.69999999999999</v>
      </c>
      <c r="K307" s="3">
        <v>157.6</v>
      </c>
    </row>
    <row r="308" spans="1:11" x14ac:dyDescent="0.3">
      <c r="A308" t="s">
        <v>30</v>
      </c>
      <c r="B308">
        <v>2021</v>
      </c>
      <c r="C308" t="s">
        <v>40</v>
      </c>
      <c r="D308" s="3">
        <v>164.03076923076924</v>
      </c>
      <c r="E308" s="3">
        <v>189.7</v>
      </c>
      <c r="F308" s="3">
        <v>164.13333333333335</v>
      </c>
      <c r="G308" s="3">
        <v>161.5</v>
      </c>
      <c r="H308" s="3">
        <v>170.4</v>
      </c>
      <c r="I308" s="3">
        <v>160.19999999999999</v>
      </c>
      <c r="J308" s="3">
        <v>167.2</v>
      </c>
      <c r="K308" s="3">
        <v>162.80000000000001</v>
      </c>
    </row>
    <row r="309" spans="1:11" hidden="1" x14ac:dyDescent="0.3">
      <c r="A309" t="s">
        <v>33</v>
      </c>
      <c r="B309">
        <v>2021</v>
      </c>
      <c r="C309" t="s">
        <v>40</v>
      </c>
      <c r="D309" s="3">
        <v>167.06153846153848</v>
      </c>
      <c r="E309" s="3">
        <v>195.5</v>
      </c>
      <c r="F309" s="3">
        <v>151.76666666666668</v>
      </c>
      <c r="G309" s="3">
        <v>161.5</v>
      </c>
      <c r="H309" s="3">
        <v>161.5</v>
      </c>
      <c r="I309" s="3">
        <v>153.73999999999998</v>
      </c>
      <c r="J309" s="3">
        <v>160.30000000000001</v>
      </c>
      <c r="K309" s="3">
        <v>155</v>
      </c>
    </row>
    <row r="310" spans="1:11" hidden="1" x14ac:dyDescent="0.3">
      <c r="A310" t="s">
        <v>34</v>
      </c>
      <c r="B310">
        <v>2021</v>
      </c>
      <c r="C310" t="s">
        <v>40</v>
      </c>
      <c r="D310" s="3">
        <v>165.15384615384616</v>
      </c>
      <c r="E310" s="3">
        <v>191.2</v>
      </c>
      <c r="F310" s="3">
        <v>159.1</v>
      </c>
      <c r="G310" s="3">
        <v>161.5</v>
      </c>
      <c r="H310" s="3">
        <v>167</v>
      </c>
      <c r="I310" s="3">
        <v>157.00000000000003</v>
      </c>
      <c r="J310" s="3">
        <v>163.19999999999999</v>
      </c>
      <c r="K310" s="3">
        <v>159</v>
      </c>
    </row>
    <row r="311" spans="1:11" x14ac:dyDescent="0.3">
      <c r="A311" t="s">
        <v>30</v>
      </c>
      <c r="B311">
        <v>2021</v>
      </c>
      <c r="C311" t="s">
        <v>41</v>
      </c>
      <c r="D311" s="3">
        <v>163.90769230769232</v>
      </c>
      <c r="E311" s="3">
        <v>190.2</v>
      </c>
      <c r="F311" s="3">
        <v>165.3</v>
      </c>
      <c r="G311" s="3">
        <v>162.1</v>
      </c>
      <c r="H311" s="3">
        <v>171.1</v>
      </c>
      <c r="I311" s="3">
        <v>160.61999999999998</v>
      </c>
      <c r="J311" s="3">
        <v>167.5</v>
      </c>
      <c r="K311" s="3">
        <v>163.30000000000001</v>
      </c>
    </row>
    <row r="312" spans="1:11" hidden="1" x14ac:dyDescent="0.3">
      <c r="A312" t="s">
        <v>33</v>
      </c>
      <c r="B312">
        <v>2021</v>
      </c>
      <c r="C312" t="s">
        <v>41</v>
      </c>
      <c r="D312" s="3">
        <v>165.99230769230769</v>
      </c>
      <c r="E312" s="3">
        <v>196.5</v>
      </c>
      <c r="F312" s="3">
        <v>153.56666666666666</v>
      </c>
      <c r="G312" s="3">
        <v>162.1</v>
      </c>
      <c r="H312" s="3">
        <v>162.80000000000001</v>
      </c>
      <c r="I312" s="3">
        <v>155.52000000000001</v>
      </c>
      <c r="J312" s="3">
        <v>160.4</v>
      </c>
      <c r="K312" s="3">
        <v>156</v>
      </c>
    </row>
    <row r="313" spans="1:11" hidden="1" x14ac:dyDescent="0.3">
      <c r="A313" t="s">
        <v>34</v>
      </c>
      <c r="B313">
        <v>2021</v>
      </c>
      <c r="C313" t="s">
        <v>41</v>
      </c>
      <c r="D313" s="3">
        <v>164.76923076923077</v>
      </c>
      <c r="E313" s="3">
        <v>192.1</v>
      </c>
      <c r="F313" s="3">
        <v>161</v>
      </c>
      <c r="G313" s="3">
        <v>162.1</v>
      </c>
      <c r="H313" s="3">
        <v>168.4</v>
      </c>
      <c r="I313" s="3">
        <v>158.34</v>
      </c>
      <c r="J313" s="3">
        <v>163.80000000000001</v>
      </c>
      <c r="K313" s="3">
        <v>160</v>
      </c>
    </row>
    <row r="314" spans="1:11" x14ac:dyDescent="0.3">
      <c r="A314" t="s">
        <v>30</v>
      </c>
      <c r="B314">
        <v>2021</v>
      </c>
      <c r="C314" t="s">
        <v>42</v>
      </c>
      <c r="D314" s="3">
        <v>164.12307692307692</v>
      </c>
      <c r="E314" s="3">
        <v>190.5</v>
      </c>
      <c r="F314" s="3">
        <v>166.13333333333333</v>
      </c>
      <c r="G314" s="3">
        <v>162.1</v>
      </c>
      <c r="H314" s="3">
        <v>171.9</v>
      </c>
      <c r="I314" s="3">
        <v>161.14000000000001</v>
      </c>
      <c r="J314" s="3">
        <v>168.5</v>
      </c>
      <c r="K314" s="3">
        <v>163.80000000000001</v>
      </c>
    </row>
    <row r="315" spans="1:11" hidden="1" x14ac:dyDescent="0.3">
      <c r="A315" t="s">
        <v>33</v>
      </c>
      <c r="B315">
        <v>2021</v>
      </c>
      <c r="C315" t="s">
        <v>42</v>
      </c>
      <c r="D315" s="3">
        <v>165.99230769230769</v>
      </c>
      <c r="E315" s="3">
        <v>196.5</v>
      </c>
      <c r="F315" s="3">
        <v>153.6</v>
      </c>
      <c r="G315" s="3">
        <v>162.1</v>
      </c>
      <c r="H315" s="3">
        <v>162.80000000000001</v>
      </c>
      <c r="I315" s="3">
        <v>155.62</v>
      </c>
      <c r="J315" s="3">
        <v>160.30000000000001</v>
      </c>
      <c r="K315" s="3">
        <v>156</v>
      </c>
    </row>
    <row r="316" spans="1:11" hidden="1" x14ac:dyDescent="0.3">
      <c r="A316" t="s">
        <v>34</v>
      </c>
      <c r="B316">
        <v>2021</v>
      </c>
      <c r="C316" t="s">
        <v>42</v>
      </c>
      <c r="D316" s="3">
        <v>164.76923076923077</v>
      </c>
      <c r="E316" s="3">
        <v>192.1</v>
      </c>
      <c r="F316" s="3">
        <v>161.06666666666666</v>
      </c>
      <c r="G316" s="3">
        <v>162.1</v>
      </c>
      <c r="H316" s="3">
        <v>168.4</v>
      </c>
      <c r="I316" s="3">
        <v>158.35999999999999</v>
      </c>
      <c r="J316" s="3">
        <v>163.69999999999999</v>
      </c>
      <c r="K316" s="3">
        <v>160</v>
      </c>
    </row>
    <row r="317" spans="1:11" x14ac:dyDescent="0.3">
      <c r="A317" t="s">
        <v>30</v>
      </c>
      <c r="B317">
        <v>2021</v>
      </c>
      <c r="C317" t="s">
        <v>43</v>
      </c>
      <c r="D317" s="3">
        <v>166.47692307692307</v>
      </c>
      <c r="E317" s="3">
        <v>191.2</v>
      </c>
      <c r="F317" s="3">
        <v>167.33333333333334</v>
      </c>
      <c r="G317" s="3">
        <v>163.6</v>
      </c>
      <c r="H317" s="3">
        <v>172.5</v>
      </c>
      <c r="I317" s="3">
        <v>162.26000000000002</v>
      </c>
      <c r="J317" s="3">
        <v>169</v>
      </c>
      <c r="K317" s="3">
        <v>164.7</v>
      </c>
    </row>
    <row r="318" spans="1:11" hidden="1" x14ac:dyDescent="0.3">
      <c r="A318" t="s">
        <v>33</v>
      </c>
      <c r="B318">
        <v>2021</v>
      </c>
      <c r="C318" t="s">
        <v>43</v>
      </c>
      <c r="D318" s="3">
        <v>169.10769230769236</v>
      </c>
      <c r="E318" s="3">
        <v>197</v>
      </c>
      <c r="F318" s="3">
        <v>154.50000000000003</v>
      </c>
      <c r="G318" s="3">
        <v>163.6</v>
      </c>
      <c r="H318" s="3">
        <v>163.5</v>
      </c>
      <c r="I318" s="3">
        <v>156.82</v>
      </c>
      <c r="J318" s="3">
        <v>160.30000000000001</v>
      </c>
      <c r="K318" s="3">
        <v>157</v>
      </c>
    </row>
    <row r="319" spans="1:11" hidden="1" x14ac:dyDescent="0.3">
      <c r="A319" t="s">
        <v>34</v>
      </c>
      <c r="B319">
        <v>2021</v>
      </c>
      <c r="C319" t="s">
        <v>43</v>
      </c>
      <c r="D319" s="3">
        <v>167.34615384615384</v>
      </c>
      <c r="E319" s="3">
        <v>192.7</v>
      </c>
      <c r="F319" s="3">
        <v>162.1</v>
      </c>
      <c r="G319" s="3">
        <v>163.6</v>
      </c>
      <c r="H319" s="3">
        <v>169.1</v>
      </c>
      <c r="I319" s="3">
        <v>159.54000000000002</v>
      </c>
      <c r="J319" s="3">
        <v>163.9</v>
      </c>
      <c r="K319" s="3">
        <v>161</v>
      </c>
    </row>
    <row r="320" spans="1:11" x14ac:dyDescent="0.3">
      <c r="A320" t="s">
        <v>30</v>
      </c>
      <c r="B320">
        <v>2021</v>
      </c>
      <c r="C320" t="s">
        <v>45</v>
      </c>
      <c r="D320" s="3">
        <v>167.84615384615384</v>
      </c>
      <c r="E320" s="3">
        <v>191.4</v>
      </c>
      <c r="F320" s="3">
        <v>168.73333333333332</v>
      </c>
      <c r="G320" s="3">
        <v>164.2</v>
      </c>
      <c r="H320" s="3">
        <v>173.4</v>
      </c>
      <c r="I320" s="3">
        <v>162.66000000000003</v>
      </c>
      <c r="J320" s="3">
        <v>169.3</v>
      </c>
      <c r="K320" s="3">
        <v>165.2</v>
      </c>
    </row>
    <row r="321" spans="1:11" hidden="1" x14ac:dyDescent="0.3">
      <c r="A321" t="s">
        <v>33</v>
      </c>
      <c r="B321">
        <v>2021</v>
      </c>
      <c r="C321" t="s">
        <v>45</v>
      </c>
      <c r="D321" s="3">
        <v>170.60769230769228</v>
      </c>
      <c r="E321" s="3">
        <v>197</v>
      </c>
      <c r="F321" s="3">
        <v>155.76666666666668</v>
      </c>
      <c r="G321" s="3">
        <v>164.2</v>
      </c>
      <c r="H321" s="3">
        <v>164.2</v>
      </c>
      <c r="I321" s="3">
        <v>157.30000000000001</v>
      </c>
      <c r="J321" s="3">
        <v>160.80000000000001</v>
      </c>
      <c r="K321" s="3">
        <v>157.30000000000001</v>
      </c>
    </row>
    <row r="322" spans="1:11" hidden="1" x14ac:dyDescent="0.3">
      <c r="A322" t="s">
        <v>34</v>
      </c>
      <c r="B322">
        <v>2021</v>
      </c>
      <c r="C322" t="s">
        <v>45</v>
      </c>
      <c r="D322" s="3">
        <v>168.77692307692308</v>
      </c>
      <c r="E322" s="3">
        <v>192.9</v>
      </c>
      <c r="F322" s="3">
        <v>163.46666666666667</v>
      </c>
      <c r="G322" s="3">
        <v>164.2</v>
      </c>
      <c r="H322" s="3">
        <v>169.9</v>
      </c>
      <c r="I322" s="3">
        <v>160</v>
      </c>
      <c r="J322" s="3">
        <v>164.3</v>
      </c>
      <c r="K322" s="3">
        <v>161.4</v>
      </c>
    </row>
    <row r="323" spans="1:11" x14ac:dyDescent="0.3">
      <c r="A323" t="s">
        <v>30</v>
      </c>
      <c r="B323">
        <v>2021</v>
      </c>
      <c r="C323" t="s">
        <v>46</v>
      </c>
      <c r="D323" s="3">
        <v>166.78461538461536</v>
      </c>
      <c r="E323" s="3">
        <v>190.8</v>
      </c>
      <c r="F323" s="3">
        <v>170.1</v>
      </c>
      <c r="G323" s="3">
        <v>163.4</v>
      </c>
      <c r="H323" s="3">
        <v>174</v>
      </c>
      <c r="I323" s="3">
        <v>163.38000000000002</v>
      </c>
      <c r="J323" s="3">
        <v>169.7</v>
      </c>
      <c r="K323" s="3">
        <v>166</v>
      </c>
    </row>
    <row r="324" spans="1:11" hidden="1" x14ac:dyDescent="0.3">
      <c r="A324" t="s">
        <v>33</v>
      </c>
      <c r="B324">
        <v>2021</v>
      </c>
      <c r="C324" t="s">
        <v>46</v>
      </c>
      <c r="D324" s="3">
        <v>169.71538461538464</v>
      </c>
      <c r="E324" s="3">
        <v>196.8</v>
      </c>
      <c r="F324" s="3">
        <v>156.9</v>
      </c>
      <c r="G324" s="3">
        <v>163.4</v>
      </c>
      <c r="H324" s="3">
        <v>165.1</v>
      </c>
      <c r="I324" s="3">
        <v>157.9</v>
      </c>
      <c r="J324" s="3">
        <v>160.6</v>
      </c>
      <c r="K324" s="3">
        <v>157.80000000000001</v>
      </c>
    </row>
    <row r="325" spans="1:11" hidden="1" x14ac:dyDescent="0.3">
      <c r="A325" t="s">
        <v>34</v>
      </c>
      <c r="B325">
        <v>2021</v>
      </c>
      <c r="C325" t="s">
        <v>46</v>
      </c>
      <c r="D325" s="3">
        <v>167.76153846153846</v>
      </c>
      <c r="E325" s="3">
        <v>192.4</v>
      </c>
      <c r="F325" s="3">
        <v>164.73333333333332</v>
      </c>
      <c r="G325" s="3">
        <v>163.4</v>
      </c>
      <c r="H325" s="3">
        <v>170.6</v>
      </c>
      <c r="I325" s="3">
        <v>160.63999999999999</v>
      </c>
      <c r="J325" s="3">
        <v>164.4</v>
      </c>
      <c r="K325" s="3">
        <v>162</v>
      </c>
    </row>
    <row r="326" spans="1:11" x14ac:dyDescent="0.3">
      <c r="A326" t="s">
        <v>30</v>
      </c>
      <c r="B326">
        <v>2022</v>
      </c>
      <c r="C326" t="s">
        <v>31</v>
      </c>
      <c r="D326" s="3">
        <v>165.61538461538461</v>
      </c>
      <c r="E326" s="3">
        <v>190.7</v>
      </c>
      <c r="F326" s="3">
        <v>171.73333333333335</v>
      </c>
      <c r="G326" s="3">
        <v>164.5</v>
      </c>
      <c r="H326" s="3">
        <v>174.7</v>
      </c>
      <c r="I326" s="3">
        <v>163.92000000000002</v>
      </c>
      <c r="J326" s="3">
        <v>169.9</v>
      </c>
      <c r="K326" s="3">
        <v>166.6</v>
      </c>
    </row>
    <row r="327" spans="1:11" hidden="1" x14ac:dyDescent="0.3">
      <c r="A327" t="s">
        <v>33</v>
      </c>
      <c r="B327">
        <v>2022</v>
      </c>
      <c r="C327" t="s">
        <v>31</v>
      </c>
      <c r="D327" s="3">
        <v>168.2076923076923</v>
      </c>
      <c r="E327" s="3">
        <v>196.4</v>
      </c>
      <c r="F327" s="3">
        <v>158.46666666666667</v>
      </c>
      <c r="G327" s="3">
        <v>164.5</v>
      </c>
      <c r="H327" s="3">
        <v>166.1</v>
      </c>
      <c r="I327" s="3">
        <v>158.45999999999998</v>
      </c>
      <c r="J327" s="3">
        <v>161</v>
      </c>
      <c r="K327" s="3">
        <v>158.6</v>
      </c>
    </row>
    <row r="328" spans="1:11" hidden="1" x14ac:dyDescent="0.3">
      <c r="A328" t="s">
        <v>34</v>
      </c>
      <c r="B328">
        <v>2022</v>
      </c>
      <c r="C328" t="s">
        <v>31</v>
      </c>
      <c r="D328" s="3">
        <v>166.47692307692307</v>
      </c>
      <c r="E328" s="3">
        <v>192.2</v>
      </c>
      <c r="F328" s="3">
        <v>166.36666666666667</v>
      </c>
      <c r="G328" s="3">
        <v>164.5</v>
      </c>
      <c r="H328" s="3">
        <v>171.4</v>
      </c>
      <c r="I328" s="3">
        <v>161.19999999999999</v>
      </c>
      <c r="J328" s="3">
        <v>164.7</v>
      </c>
      <c r="K328" s="3">
        <v>162.69999999999999</v>
      </c>
    </row>
    <row r="329" spans="1:11" x14ac:dyDescent="0.3">
      <c r="A329" t="s">
        <v>30</v>
      </c>
      <c r="B329">
        <v>2022</v>
      </c>
      <c r="C329" t="s">
        <v>35</v>
      </c>
      <c r="D329" s="3">
        <v>165.41538461538462</v>
      </c>
      <c r="E329" s="3">
        <v>191.5</v>
      </c>
      <c r="F329" s="3">
        <v>172.93333333333331</v>
      </c>
      <c r="G329" s="3">
        <v>165.5</v>
      </c>
      <c r="H329" s="3">
        <v>175.3</v>
      </c>
      <c r="I329" s="3">
        <v>164.85999999999999</v>
      </c>
      <c r="J329" s="3">
        <v>170.3</v>
      </c>
      <c r="K329" s="3">
        <v>167.3</v>
      </c>
    </row>
    <row r="330" spans="1:11" hidden="1" x14ac:dyDescent="0.3">
      <c r="A330" t="s">
        <v>33</v>
      </c>
      <c r="B330">
        <v>2022</v>
      </c>
      <c r="C330" t="s">
        <v>35</v>
      </c>
      <c r="D330" s="3">
        <v>167.96153846153845</v>
      </c>
      <c r="E330" s="3">
        <v>196.5</v>
      </c>
      <c r="F330" s="3">
        <v>159.83333333333334</v>
      </c>
      <c r="G330" s="3">
        <v>165.5</v>
      </c>
      <c r="H330" s="3">
        <v>167.2</v>
      </c>
      <c r="I330" s="3">
        <v>159.44</v>
      </c>
      <c r="J330" s="3">
        <v>162</v>
      </c>
      <c r="K330" s="3">
        <v>159.4</v>
      </c>
    </row>
    <row r="331" spans="1:11" hidden="1" x14ac:dyDescent="0.3">
      <c r="A331" t="s">
        <v>34</v>
      </c>
      <c r="B331">
        <v>2022</v>
      </c>
      <c r="C331" t="s">
        <v>35</v>
      </c>
      <c r="D331" s="3">
        <v>166.24615384615387</v>
      </c>
      <c r="E331" s="3">
        <v>192.8</v>
      </c>
      <c r="F331" s="3">
        <v>167.60000000000002</v>
      </c>
      <c r="G331" s="3">
        <v>165.5</v>
      </c>
      <c r="H331" s="3">
        <v>172.2</v>
      </c>
      <c r="I331" s="3">
        <v>162.18</v>
      </c>
      <c r="J331" s="3">
        <v>165.4</v>
      </c>
      <c r="K331" s="3">
        <v>163.5</v>
      </c>
    </row>
    <row r="332" spans="1:11" x14ac:dyDescent="0.3">
      <c r="A332" t="s">
        <v>30</v>
      </c>
      <c r="B332">
        <v>2022</v>
      </c>
      <c r="C332" t="s">
        <v>36</v>
      </c>
      <c r="D332" s="3">
        <v>167.62307692307695</v>
      </c>
      <c r="E332" s="3">
        <v>192.3</v>
      </c>
      <c r="F332" s="3">
        <v>174.56666666666669</v>
      </c>
      <c r="G332" s="3">
        <v>165.3</v>
      </c>
      <c r="H332" s="3">
        <v>176</v>
      </c>
      <c r="I332" s="3">
        <v>166.28</v>
      </c>
      <c r="J332" s="3">
        <v>170.6</v>
      </c>
      <c r="K332" s="3">
        <v>168.3</v>
      </c>
    </row>
    <row r="333" spans="1:11" hidden="1" x14ac:dyDescent="0.3">
      <c r="A333" t="s">
        <v>33</v>
      </c>
      <c r="B333">
        <v>2022</v>
      </c>
      <c r="C333" t="s">
        <v>36</v>
      </c>
      <c r="D333" s="3">
        <v>168.94615384615386</v>
      </c>
      <c r="E333" s="3">
        <v>197.5</v>
      </c>
      <c r="F333" s="3">
        <v>161.53333333333333</v>
      </c>
      <c r="G333" s="3">
        <v>165.3</v>
      </c>
      <c r="H333" s="3">
        <v>168.2</v>
      </c>
      <c r="I333" s="3">
        <v>160.98000000000002</v>
      </c>
      <c r="J333" s="3">
        <v>162.69999999999999</v>
      </c>
      <c r="K333" s="3">
        <v>160.6</v>
      </c>
    </row>
    <row r="334" spans="1:11" hidden="1" x14ac:dyDescent="0.3">
      <c r="A334" t="s">
        <v>34</v>
      </c>
      <c r="B334">
        <v>2022</v>
      </c>
      <c r="C334" t="s">
        <v>36</v>
      </c>
      <c r="D334" s="3">
        <v>168.01538461538465</v>
      </c>
      <c r="E334" s="3">
        <v>193.7</v>
      </c>
      <c r="F334" s="3">
        <v>169.26666666666665</v>
      </c>
      <c r="G334" s="3">
        <v>165.3</v>
      </c>
      <c r="H334" s="3">
        <v>173</v>
      </c>
      <c r="I334" s="3">
        <v>163.68</v>
      </c>
      <c r="J334" s="3">
        <v>166</v>
      </c>
      <c r="K334" s="3">
        <v>164.6</v>
      </c>
    </row>
    <row r="335" spans="1:11" x14ac:dyDescent="0.3">
      <c r="A335" t="s">
        <v>30</v>
      </c>
      <c r="B335">
        <v>2022</v>
      </c>
      <c r="C335" t="s">
        <v>37</v>
      </c>
      <c r="D335" s="3">
        <v>169.73846153846154</v>
      </c>
      <c r="E335" s="3">
        <v>192.8</v>
      </c>
      <c r="F335" s="3">
        <v>176.56666666666669</v>
      </c>
      <c r="G335" s="3">
        <v>167</v>
      </c>
      <c r="H335" s="3">
        <v>177</v>
      </c>
      <c r="I335" s="3">
        <v>168.68</v>
      </c>
      <c r="J335" s="3">
        <v>170.9</v>
      </c>
      <c r="K335" s="3">
        <v>170.2</v>
      </c>
    </row>
    <row r="336" spans="1:11" hidden="1" x14ac:dyDescent="0.3">
      <c r="A336" t="s">
        <v>33</v>
      </c>
      <c r="B336">
        <v>2022</v>
      </c>
      <c r="C336" t="s">
        <v>37</v>
      </c>
      <c r="D336" s="3">
        <v>171.56923076923078</v>
      </c>
      <c r="E336" s="3">
        <v>197.1</v>
      </c>
      <c r="F336" s="3">
        <v>163.06666666666666</v>
      </c>
      <c r="G336" s="3">
        <v>167</v>
      </c>
      <c r="H336" s="3">
        <v>169</v>
      </c>
      <c r="I336" s="3">
        <v>164.04</v>
      </c>
      <c r="J336" s="3">
        <v>164</v>
      </c>
      <c r="K336" s="3">
        <v>163.1</v>
      </c>
    </row>
    <row r="337" spans="1:11" hidden="1" x14ac:dyDescent="0.3">
      <c r="A337" t="s">
        <v>34</v>
      </c>
      <c r="B337">
        <v>2022</v>
      </c>
      <c r="C337" t="s">
        <v>37</v>
      </c>
      <c r="D337" s="3">
        <v>170.33076923076925</v>
      </c>
      <c r="E337" s="3">
        <v>193.9</v>
      </c>
      <c r="F337" s="3">
        <v>171.06666666666669</v>
      </c>
      <c r="G337" s="3">
        <v>167</v>
      </c>
      <c r="H337" s="3">
        <v>174</v>
      </c>
      <c r="I337" s="3">
        <v>166.4</v>
      </c>
      <c r="J337" s="3">
        <v>166.9</v>
      </c>
      <c r="K337" s="3">
        <v>166.8</v>
      </c>
    </row>
    <row r="338" spans="1:11" x14ac:dyDescent="0.3">
      <c r="A338" t="s">
        <v>30</v>
      </c>
      <c r="B338">
        <v>2022</v>
      </c>
      <c r="C338" t="s">
        <v>38</v>
      </c>
      <c r="D338" s="3">
        <v>171.2923076923077</v>
      </c>
      <c r="E338" s="3">
        <v>192.9</v>
      </c>
      <c r="F338" s="3">
        <v>178.5</v>
      </c>
      <c r="G338" s="3">
        <v>167.5</v>
      </c>
      <c r="H338" s="3">
        <v>177.7</v>
      </c>
      <c r="I338" s="3">
        <v>169.48000000000002</v>
      </c>
      <c r="J338" s="3">
        <v>171.8</v>
      </c>
      <c r="K338" s="3">
        <v>170.9</v>
      </c>
    </row>
    <row r="339" spans="1:11" hidden="1" x14ac:dyDescent="0.3">
      <c r="A339" t="s">
        <v>33</v>
      </c>
      <c r="B339">
        <v>2022</v>
      </c>
      <c r="C339" t="s">
        <v>38</v>
      </c>
      <c r="D339" s="3">
        <v>174.01538461538465</v>
      </c>
      <c r="E339" s="3">
        <v>197.5</v>
      </c>
      <c r="F339" s="3">
        <v>164.56666666666666</v>
      </c>
      <c r="G339" s="3">
        <v>167.5</v>
      </c>
      <c r="H339" s="3">
        <v>170.1</v>
      </c>
      <c r="I339" s="3">
        <v>165.08</v>
      </c>
      <c r="J339" s="3">
        <v>165.2</v>
      </c>
      <c r="K339" s="3">
        <v>163.80000000000001</v>
      </c>
    </row>
    <row r="340" spans="1:11" hidden="1" x14ac:dyDescent="0.3">
      <c r="A340" t="s">
        <v>34</v>
      </c>
      <c r="B340">
        <v>2022</v>
      </c>
      <c r="C340" t="s">
        <v>38</v>
      </c>
      <c r="D340" s="3">
        <v>172.22307692307697</v>
      </c>
      <c r="E340" s="3">
        <v>194.1</v>
      </c>
      <c r="F340" s="3">
        <v>172.86666666666667</v>
      </c>
      <c r="G340" s="3">
        <v>167.5</v>
      </c>
      <c r="H340" s="3">
        <v>174.8</v>
      </c>
      <c r="I340" s="3">
        <v>167.26</v>
      </c>
      <c r="J340" s="3">
        <v>167.9</v>
      </c>
      <c r="K340" s="3">
        <v>167.5</v>
      </c>
    </row>
    <row r="341" spans="1:11" x14ac:dyDescent="0.3">
      <c r="A341" t="s">
        <v>30</v>
      </c>
      <c r="B341">
        <v>2022</v>
      </c>
      <c r="C341" t="s">
        <v>39</v>
      </c>
      <c r="D341" s="3">
        <v>172.94615384615386</v>
      </c>
      <c r="E341" s="3">
        <v>192.9</v>
      </c>
      <c r="F341" s="3">
        <v>179.93333333333331</v>
      </c>
      <c r="G341" s="3">
        <v>166.8</v>
      </c>
      <c r="H341" s="3">
        <v>178.2</v>
      </c>
      <c r="I341" s="3">
        <v>170</v>
      </c>
      <c r="J341" s="3">
        <v>172.6</v>
      </c>
      <c r="K341" s="3">
        <v>171</v>
      </c>
    </row>
    <row r="342" spans="1:11" hidden="1" x14ac:dyDescent="0.3">
      <c r="A342" t="s">
        <v>33</v>
      </c>
      <c r="B342">
        <v>2022</v>
      </c>
      <c r="C342" t="s">
        <v>39</v>
      </c>
      <c r="D342" s="3">
        <v>175.96153846153845</v>
      </c>
      <c r="E342" s="3">
        <v>198.3</v>
      </c>
      <c r="F342" s="3">
        <v>166.13333333333333</v>
      </c>
      <c r="G342" s="3">
        <v>166.8</v>
      </c>
      <c r="H342" s="3">
        <v>170.9</v>
      </c>
      <c r="I342" s="3">
        <v>165.5</v>
      </c>
      <c r="J342" s="3">
        <v>166.5</v>
      </c>
      <c r="K342" s="3">
        <v>163.80000000000001</v>
      </c>
    </row>
    <row r="343" spans="1:11" hidden="1" x14ac:dyDescent="0.3">
      <c r="A343" t="s">
        <v>34</v>
      </c>
      <c r="B343">
        <v>2022</v>
      </c>
      <c r="C343" t="s">
        <v>39</v>
      </c>
      <c r="D343" s="3">
        <v>173.99230769230769</v>
      </c>
      <c r="E343" s="3">
        <v>194.3</v>
      </c>
      <c r="F343" s="3">
        <v>174.33333333333334</v>
      </c>
      <c r="G343" s="3">
        <v>166.8</v>
      </c>
      <c r="H343" s="3">
        <v>175.4</v>
      </c>
      <c r="I343" s="3">
        <v>167.73999999999998</v>
      </c>
      <c r="J343" s="3">
        <v>169</v>
      </c>
      <c r="K343" s="3">
        <v>167.5</v>
      </c>
    </row>
    <row r="344" spans="1:11" x14ac:dyDescent="0.3">
      <c r="A344" t="s">
        <v>30</v>
      </c>
      <c r="B344">
        <v>2022</v>
      </c>
      <c r="C344" t="s">
        <v>40</v>
      </c>
      <c r="D344" s="3">
        <v>173.26923076923077</v>
      </c>
      <c r="E344" s="3">
        <v>193.2</v>
      </c>
      <c r="F344" s="3">
        <v>181.33333333333334</v>
      </c>
      <c r="G344" s="3">
        <v>167.8</v>
      </c>
      <c r="H344" s="3">
        <v>178.8</v>
      </c>
      <c r="I344" s="3">
        <v>171.1</v>
      </c>
      <c r="J344" s="3">
        <v>174.7</v>
      </c>
      <c r="K344" s="3">
        <v>171.8</v>
      </c>
    </row>
    <row r="345" spans="1:11" hidden="1" x14ac:dyDescent="0.3">
      <c r="A345" t="s">
        <v>33</v>
      </c>
      <c r="B345">
        <v>2022</v>
      </c>
      <c r="C345" t="s">
        <v>40</v>
      </c>
      <c r="D345" s="3">
        <v>176.27692307692308</v>
      </c>
      <c r="E345" s="3">
        <v>198.6</v>
      </c>
      <c r="F345" s="3">
        <v>167.33333333333334</v>
      </c>
      <c r="G345" s="3">
        <v>167.8</v>
      </c>
      <c r="H345" s="3">
        <v>171.7</v>
      </c>
      <c r="I345" s="3">
        <v>166.88000000000002</v>
      </c>
      <c r="J345" s="3">
        <v>169.1</v>
      </c>
      <c r="K345" s="3">
        <v>164.7</v>
      </c>
    </row>
    <row r="346" spans="1:11" hidden="1" x14ac:dyDescent="0.3">
      <c r="A346" t="s">
        <v>34</v>
      </c>
      <c r="B346">
        <v>2022</v>
      </c>
      <c r="C346" t="s">
        <v>40</v>
      </c>
      <c r="D346" s="3">
        <v>174.33076923076925</v>
      </c>
      <c r="E346" s="3">
        <v>194.6</v>
      </c>
      <c r="F346" s="3">
        <v>175.63333333333335</v>
      </c>
      <c r="G346" s="3">
        <v>167.8</v>
      </c>
      <c r="H346" s="3">
        <v>176.1</v>
      </c>
      <c r="I346" s="3">
        <v>168.92000000000002</v>
      </c>
      <c r="J346" s="3">
        <v>171.4</v>
      </c>
      <c r="K346" s="3">
        <v>168.4</v>
      </c>
    </row>
    <row r="347" spans="1:11" x14ac:dyDescent="0.3">
      <c r="A347" t="s">
        <v>30</v>
      </c>
      <c r="B347">
        <v>2022</v>
      </c>
      <c r="C347" t="s">
        <v>41</v>
      </c>
      <c r="D347" s="3">
        <v>173.5230769230769</v>
      </c>
      <c r="E347" s="3">
        <v>193.7</v>
      </c>
      <c r="F347" s="3">
        <v>182.63333333333333</v>
      </c>
      <c r="G347" s="3">
        <v>169</v>
      </c>
      <c r="H347" s="3">
        <v>179.4</v>
      </c>
      <c r="I347" s="3">
        <v>171.68</v>
      </c>
      <c r="J347" s="3">
        <v>175.7</v>
      </c>
      <c r="K347" s="3">
        <v>172.6</v>
      </c>
    </row>
    <row r="348" spans="1:11" hidden="1" x14ac:dyDescent="0.3">
      <c r="A348" t="s">
        <v>33</v>
      </c>
      <c r="B348">
        <v>2022</v>
      </c>
      <c r="C348" t="s">
        <v>41</v>
      </c>
      <c r="D348" s="3">
        <v>176.43846153846152</v>
      </c>
      <c r="E348" s="3">
        <v>198.7</v>
      </c>
      <c r="F348" s="3">
        <v>168.43333333333331</v>
      </c>
      <c r="G348" s="3">
        <v>169</v>
      </c>
      <c r="H348" s="3">
        <v>172.6</v>
      </c>
      <c r="I348" s="3">
        <v>167.35999999999999</v>
      </c>
      <c r="J348" s="3">
        <v>169.9</v>
      </c>
      <c r="K348" s="3">
        <v>165.4</v>
      </c>
    </row>
    <row r="349" spans="1:11" hidden="1" x14ac:dyDescent="0.3">
      <c r="A349" t="s">
        <v>34</v>
      </c>
      <c r="B349">
        <v>2022</v>
      </c>
      <c r="C349" t="s">
        <v>41</v>
      </c>
      <c r="D349" s="3">
        <v>174.55384615384617</v>
      </c>
      <c r="E349" s="3">
        <v>195</v>
      </c>
      <c r="F349" s="3">
        <v>176.9</v>
      </c>
      <c r="G349" s="3">
        <v>169</v>
      </c>
      <c r="H349" s="3">
        <v>176.8</v>
      </c>
      <c r="I349" s="3">
        <v>169.45999999999998</v>
      </c>
      <c r="J349" s="3">
        <v>172.3</v>
      </c>
      <c r="K349" s="3">
        <v>169.1</v>
      </c>
    </row>
    <row r="350" spans="1:11" x14ac:dyDescent="0.3">
      <c r="A350" t="s">
        <v>30</v>
      </c>
      <c r="B350">
        <v>2022</v>
      </c>
      <c r="C350" t="s">
        <v>42</v>
      </c>
      <c r="D350" s="3">
        <v>174.44615384615386</v>
      </c>
      <c r="E350" s="3">
        <v>194.5</v>
      </c>
      <c r="F350" s="3">
        <v>184.16666666666666</v>
      </c>
      <c r="G350" s="3">
        <v>169.5</v>
      </c>
      <c r="H350" s="3">
        <v>180.2</v>
      </c>
      <c r="I350" s="3">
        <v>172.2</v>
      </c>
      <c r="J350" s="3">
        <v>176.2</v>
      </c>
      <c r="K350" s="3">
        <v>173.1</v>
      </c>
    </row>
    <row r="351" spans="1:11" hidden="1" x14ac:dyDescent="0.3">
      <c r="A351" t="s">
        <v>33</v>
      </c>
      <c r="B351">
        <v>2022</v>
      </c>
      <c r="C351" t="s">
        <v>42</v>
      </c>
      <c r="D351" s="3">
        <v>177.41538461538462</v>
      </c>
      <c r="E351" s="3">
        <v>199.7</v>
      </c>
      <c r="F351" s="3">
        <v>169.9</v>
      </c>
      <c r="G351" s="3">
        <v>169.5</v>
      </c>
      <c r="H351" s="3">
        <v>173.8</v>
      </c>
      <c r="I351" s="3">
        <v>167.86</v>
      </c>
      <c r="J351" s="3">
        <v>170.9</v>
      </c>
      <c r="K351" s="3">
        <v>166.1</v>
      </c>
    </row>
    <row r="352" spans="1:11" hidden="1" x14ac:dyDescent="0.3">
      <c r="A352" t="s">
        <v>34</v>
      </c>
      <c r="B352">
        <v>2022</v>
      </c>
      <c r="C352" t="s">
        <v>42</v>
      </c>
      <c r="D352" s="3">
        <v>175.45384615384617</v>
      </c>
      <c r="E352" s="3">
        <v>195.9</v>
      </c>
      <c r="F352" s="3">
        <v>178.36666666666667</v>
      </c>
      <c r="G352" s="3">
        <v>169.5</v>
      </c>
      <c r="H352" s="3">
        <v>177.8</v>
      </c>
      <c r="I352" s="3">
        <v>169.95999999999998</v>
      </c>
      <c r="J352" s="3">
        <v>173.1</v>
      </c>
      <c r="K352" s="3">
        <v>169.7</v>
      </c>
    </row>
    <row r="353" spans="1:11" x14ac:dyDescent="0.3">
      <c r="A353" t="s">
        <v>30</v>
      </c>
      <c r="B353">
        <v>2022</v>
      </c>
      <c r="C353" t="s">
        <v>43</v>
      </c>
      <c r="D353" s="3">
        <v>175.73076923076923</v>
      </c>
      <c r="E353" s="3">
        <v>194.9</v>
      </c>
      <c r="F353" s="3">
        <v>185.46666666666667</v>
      </c>
      <c r="G353" s="3">
        <v>171.2</v>
      </c>
      <c r="H353" s="3">
        <v>181.2</v>
      </c>
      <c r="I353" s="3">
        <v>173.04000000000002</v>
      </c>
      <c r="J353" s="3">
        <v>176.5</v>
      </c>
      <c r="K353" s="3">
        <v>173.9</v>
      </c>
    </row>
    <row r="354" spans="1:11" hidden="1" x14ac:dyDescent="0.3">
      <c r="A354" t="s">
        <v>33</v>
      </c>
      <c r="B354">
        <v>2022</v>
      </c>
      <c r="C354" t="s">
        <v>43</v>
      </c>
      <c r="D354" s="3">
        <v>178.63846153846154</v>
      </c>
      <c r="E354" s="3">
        <v>200.1</v>
      </c>
      <c r="F354" s="3">
        <v>170.56666666666669</v>
      </c>
      <c r="G354" s="3">
        <v>171.2</v>
      </c>
      <c r="H354" s="3">
        <v>174.7</v>
      </c>
      <c r="I354" s="3">
        <v>168.68</v>
      </c>
      <c r="J354" s="3">
        <v>171.2</v>
      </c>
      <c r="K354" s="3">
        <v>166.8</v>
      </c>
    </row>
    <row r="355" spans="1:11" hidden="1" x14ac:dyDescent="0.3">
      <c r="A355" t="s">
        <v>34</v>
      </c>
      <c r="B355">
        <v>2022</v>
      </c>
      <c r="C355" t="s">
        <v>43</v>
      </c>
      <c r="D355" s="3">
        <v>176.71538461538464</v>
      </c>
      <c r="E355" s="3">
        <v>196.3</v>
      </c>
      <c r="F355" s="3">
        <v>179.4</v>
      </c>
      <c r="G355" s="3">
        <v>171.2</v>
      </c>
      <c r="H355" s="3">
        <v>178.7</v>
      </c>
      <c r="I355" s="3">
        <v>170.82</v>
      </c>
      <c r="J355" s="3">
        <v>173.4</v>
      </c>
      <c r="K355" s="3">
        <v>170.5</v>
      </c>
    </row>
    <row r="356" spans="1:11" x14ac:dyDescent="0.3">
      <c r="A356" t="s">
        <v>30</v>
      </c>
      <c r="B356">
        <v>2022</v>
      </c>
      <c r="C356" t="s">
        <v>45</v>
      </c>
      <c r="D356" s="3">
        <v>175.97692307692307</v>
      </c>
      <c r="E356" s="3">
        <v>195.5</v>
      </c>
      <c r="F356" s="3">
        <v>186.43333333333331</v>
      </c>
      <c r="G356" s="3">
        <v>171.8</v>
      </c>
      <c r="H356" s="3">
        <v>182.3</v>
      </c>
      <c r="I356" s="3">
        <v>173.82</v>
      </c>
      <c r="J356" s="3">
        <v>176.9</v>
      </c>
      <c r="K356" s="3">
        <v>174.6</v>
      </c>
    </row>
    <row r="357" spans="1:11" hidden="1" x14ac:dyDescent="0.3">
      <c r="A357" t="s">
        <v>33</v>
      </c>
      <c r="B357">
        <v>2022</v>
      </c>
      <c r="C357" t="s">
        <v>45</v>
      </c>
      <c r="D357" s="3">
        <v>178.03076923076924</v>
      </c>
      <c r="E357" s="3">
        <v>200.6</v>
      </c>
      <c r="F357" s="3">
        <v>171.63333333333333</v>
      </c>
      <c r="G357" s="3">
        <v>171.8</v>
      </c>
      <c r="H357" s="3">
        <v>175.8</v>
      </c>
      <c r="I357" s="3">
        <v>169.32</v>
      </c>
      <c r="J357" s="3">
        <v>171.5</v>
      </c>
      <c r="K357" s="3">
        <v>167.4</v>
      </c>
    </row>
    <row r="358" spans="1:11" hidden="1" x14ac:dyDescent="0.3">
      <c r="A358" t="s">
        <v>34</v>
      </c>
      <c r="B358">
        <v>2022</v>
      </c>
      <c r="C358" t="s">
        <v>45</v>
      </c>
      <c r="D358" s="3">
        <v>176.67692307692309</v>
      </c>
      <c r="E358" s="3">
        <v>196.9</v>
      </c>
      <c r="F358" s="3">
        <v>180.46666666666667</v>
      </c>
      <c r="G358" s="3">
        <v>171.8</v>
      </c>
      <c r="H358" s="3">
        <v>179.8</v>
      </c>
      <c r="I358" s="3">
        <v>171.56</v>
      </c>
      <c r="J358" s="3">
        <v>173.7</v>
      </c>
      <c r="K358" s="3">
        <v>171.1</v>
      </c>
    </row>
    <row r="359" spans="1:11" x14ac:dyDescent="0.3">
      <c r="A359" t="s">
        <v>30</v>
      </c>
      <c r="B359">
        <v>2022</v>
      </c>
      <c r="C359" t="s">
        <v>46</v>
      </c>
      <c r="D359" s="3">
        <v>175.16153846153844</v>
      </c>
      <c r="E359" s="3">
        <v>195.9</v>
      </c>
      <c r="F359" s="3">
        <v>187.26666666666665</v>
      </c>
      <c r="G359" s="3">
        <v>170.7</v>
      </c>
      <c r="H359" s="3">
        <v>183.5</v>
      </c>
      <c r="I359" s="3">
        <v>174.78000000000003</v>
      </c>
      <c r="J359" s="3">
        <v>177.3</v>
      </c>
      <c r="K359" s="3">
        <v>175.5</v>
      </c>
    </row>
    <row r="360" spans="1:11" hidden="1" x14ac:dyDescent="0.3">
      <c r="A360" t="s">
        <v>33</v>
      </c>
      <c r="B360">
        <v>2022</v>
      </c>
      <c r="C360" t="s">
        <v>46</v>
      </c>
      <c r="D360" s="3">
        <v>176.59999999999997</v>
      </c>
      <c r="E360" s="3">
        <v>201.1</v>
      </c>
      <c r="F360" s="3">
        <v>172.63333333333333</v>
      </c>
      <c r="G360" s="3">
        <v>170.7</v>
      </c>
      <c r="H360" s="3">
        <v>177.2</v>
      </c>
      <c r="I360" s="3">
        <v>170.07999999999998</v>
      </c>
      <c r="J360" s="3">
        <v>171.8</v>
      </c>
      <c r="K360" s="3">
        <v>168.2</v>
      </c>
    </row>
    <row r="361" spans="1:11" hidden="1" x14ac:dyDescent="0.3">
      <c r="A361" t="s">
        <v>34</v>
      </c>
      <c r="B361">
        <v>2022</v>
      </c>
      <c r="C361" t="s">
        <v>46</v>
      </c>
      <c r="D361" s="3">
        <v>175.64615384615385</v>
      </c>
      <c r="E361" s="3">
        <v>197.3</v>
      </c>
      <c r="F361" s="3">
        <v>181.33333333333334</v>
      </c>
      <c r="G361" s="3">
        <v>170.7</v>
      </c>
      <c r="H361" s="3">
        <v>181.1</v>
      </c>
      <c r="I361" s="3">
        <v>172.44</v>
      </c>
      <c r="J361" s="3">
        <v>174.1</v>
      </c>
      <c r="K361" s="3">
        <v>172</v>
      </c>
    </row>
    <row r="362" spans="1:11" x14ac:dyDescent="0.3">
      <c r="A362" t="s">
        <v>30</v>
      </c>
      <c r="B362">
        <v>2023</v>
      </c>
      <c r="C362" t="s">
        <v>31</v>
      </c>
      <c r="D362" s="3">
        <v>175.63076923076926</v>
      </c>
      <c r="E362" s="3">
        <v>196.9</v>
      </c>
      <c r="F362" s="3">
        <v>187.96666666666667</v>
      </c>
      <c r="G362" s="3">
        <v>172.1</v>
      </c>
      <c r="H362" s="3">
        <v>184.7</v>
      </c>
      <c r="I362" s="3">
        <v>175.75999999999996</v>
      </c>
      <c r="J362" s="3">
        <v>177.8</v>
      </c>
      <c r="K362" s="3">
        <v>176.5</v>
      </c>
    </row>
    <row r="363" spans="1:11" hidden="1" x14ac:dyDescent="0.3">
      <c r="A363" t="s">
        <v>33</v>
      </c>
      <c r="B363">
        <v>2023</v>
      </c>
      <c r="C363" t="s">
        <v>31</v>
      </c>
      <c r="D363" s="3">
        <v>177.70769230769233</v>
      </c>
      <c r="E363" s="3">
        <v>201.6</v>
      </c>
      <c r="F363" s="3">
        <v>173.53333333333333</v>
      </c>
      <c r="G363" s="3">
        <v>172.1</v>
      </c>
      <c r="H363" s="3">
        <v>178.5</v>
      </c>
      <c r="I363" s="3">
        <v>170.84</v>
      </c>
      <c r="J363" s="3">
        <v>171.8</v>
      </c>
      <c r="K363" s="3">
        <v>168.9</v>
      </c>
    </row>
    <row r="364" spans="1:11" hidden="1" x14ac:dyDescent="0.3">
      <c r="A364" t="s">
        <v>34</v>
      </c>
      <c r="B364">
        <v>2023</v>
      </c>
      <c r="C364" t="s">
        <v>31</v>
      </c>
      <c r="D364" s="3">
        <v>176.36153846153846</v>
      </c>
      <c r="E364" s="3">
        <v>198.2</v>
      </c>
      <c r="F364" s="3">
        <v>182.1</v>
      </c>
      <c r="G364" s="3">
        <v>172.1</v>
      </c>
      <c r="H364" s="3">
        <v>182.3</v>
      </c>
      <c r="I364" s="3">
        <v>173.32</v>
      </c>
      <c r="J364" s="3">
        <v>174.3</v>
      </c>
      <c r="K364" s="3">
        <v>172.8</v>
      </c>
    </row>
    <row r="365" spans="1:11" x14ac:dyDescent="0.3">
      <c r="A365" t="s">
        <v>30</v>
      </c>
      <c r="B365">
        <v>2023</v>
      </c>
      <c r="C365" t="s">
        <v>35</v>
      </c>
      <c r="D365" s="3">
        <v>174.28461538461536</v>
      </c>
      <c r="E365" s="3">
        <v>198.3</v>
      </c>
      <c r="F365" s="3">
        <v>188.86666666666667</v>
      </c>
      <c r="G365" s="3">
        <v>173.5</v>
      </c>
      <c r="H365" s="3">
        <v>186.6</v>
      </c>
      <c r="I365" s="3">
        <v>176.54000000000002</v>
      </c>
      <c r="J365" s="3">
        <v>178.5</v>
      </c>
      <c r="K365" s="3">
        <v>177.9</v>
      </c>
    </row>
    <row r="366" spans="1:11" hidden="1" x14ac:dyDescent="0.3">
      <c r="A366" t="s">
        <v>33</v>
      </c>
      <c r="B366">
        <v>2023</v>
      </c>
      <c r="C366" t="s">
        <v>35</v>
      </c>
      <c r="D366" s="3">
        <v>177.16923076923075</v>
      </c>
      <c r="E366" s="3">
        <v>202.7</v>
      </c>
      <c r="F366" s="3">
        <v>175.16666666666666</v>
      </c>
      <c r="G366" s="3">
        <v>173.5</v>
      </c>
      <c r="H366" s="3">
        <v>180.8</v>
      </c>
      <c r="I366" s="3">
        <v>172.32</v>
      </c>
      <c r="J366" s="3">
        <v>172.5</v>
      </c>
      <c r="K366" s="3">
        <v>170</v>
      </c>
    </row>
    <row r="367" spans="1:11" hidden="1" x14ac:dyDescent="0.3">
      <c r="A367" t="s">
        <v>34</v>
      </c>
      <c r="B367">
        <v>2023</v>
      </c>
      <c r="C367" t="s">
        <v>35</v>
      </c>
      <c r="D367" s="3">
        <v>175.3153846153846</v>
      </c>
      <c r="E367" s="3">
        <v>199.5</v>
      </c>
      <c r="F367" s="3">
        <v>183.33333333333334</v>
      </c>
      <c r="G367" s="3">
        <v>173.5</v>
      </c>
      <c r="H367" s="3">
        <v>184.4</v>
      </c>
      <c r="I367" s="3">
        <v>174.35999999999999</v>
      </c>
      <c r="J367" s="3">
        <v>175</v>
      </c>
      <c r="K367" s="3">
        <v>174.1</v>
      </c>
    </row>
    <row r="368" spans="1:11" x14ac:dyDescent="0.3">
      <c r="A368" t="s">
        <v>30</v>
      </c>
      <c r="B368">
        <v>2023</v>
      </c>
      <c r="C368" t="s">
        <v>36</v>
      </c>
      <c r="D368" s="3">
        <v>174.2923076923077</v>
      </c>
      <c r="E368" s="3">
        <v>198.4</v>
      </c>
      <c r="F368" s="3">
        <v>188.86666666666667</v>
      </c>
      <c r="G368" s="3">
        <v>173.5</v>
      </c>
      <c r="H368" s="3">
        <v>186.6</v>
      </c>
      <c r="I368" s="3">
        <v>176.5</v>
      </c>
      <c r="J368" s="3">
        <v>178.5</v>
      </c>
      <c r="K368" s="3">
        <v>177.9</v>
      </c>
    </row>
    <row r="369" spans="1:11" hidden="1" x14ac:dyDescent="0.3">
      <c r="A369" t="s">
        <v>33</v>
      </c>
      <c r="B369">
        <v>2023</v>
      </c>
      <c r="C369" t="s">
        <v>36</v>
      </c>
      <c r="D369" s="3">
        <v>177.1846153846154</v>
      </c>
      <c r="E369" s="3">
        <v>202.7</v>
      </c>
      <c r="F369" s="3">
        <v>175.13333333333333</v>
      </c>
      <c r="G369" s="3">
        <v>173.5</v>
      </c>
      <c r="H369" s="3">
        <v>180.8</v>
      </c>
      <c r="I369" s="3">
        <v>172.3</v>
      </c>
      <c r="J369" s="3">
        <v>172.5</v>
      </c>
      <c r="K369" s="3">
        <v>170</v>
      </c>
    </row>
    <row r="370" spans="1:11" hidden="1" x14ac:dyDescent="0.3">
      <c r="A370" t="s">
        <v>34</v>
      </c>
      <c r="B370">
        <v>2023</v>
      </c>
      <c r="C370" t="s">
        <v>36</v>
      </c>
      <c r="D370" s="3">
        <v>175.32307692307691</v>
      </c>
      <c r="E370" s="3">
        <v>199.5</v>
      </c>
      <c r="F370" s="3">
        <v>183.29999999999998</v>
      </c>
      <c r="G370" s="3">
        <v>173.5</v>
      </c>
      <c r="H370" s="3">
        <v>184.4</v>
      </c>
      <c r="I370" s="3">
        <v>174.32</v>
      </c>
      <c r="J370" s="3">
        <v>175</v>
      </c>
      <c r="K370" s="3">
        <v>174.1</v>
      </c>
    </row>
    <row r="371" spans="1:11" x14ac:dyDescent="0.3">
      <c r="A371" t="s">
        <v>30</v>
      </c>
      <c r="B371">
        <v>2023</v>
      </c>
      <c r="C371" t="s">
        <v>37</v>
      </c>
      <c r="D371" s="3">
        <v>174.93846153846152</v>
      </c>
      <c r="E371" s="3">
        <v>199.5</v>
      </c>
      <c r="F371" s="3">
        <v>189.4</v>
      </c>
      <c r="G371" s="3">
        <v>174.35000000000002</v>
      </c>
      <c r="H371" s="3">
        <v>187.2</v>
      </c>
      <c r="I371" s="3">
        <v>177.4</v>
      </c>
      <c r="J371" s="3">
        <v>179.4</v>
      </c>
      <c r="K371" s="3">
        <v>178.9</v>
      </c>
    </row>
    <row r="372" spans="1:11" hidden="1" x14ac:dyDescent="0.3">
      <c r="A372" t="s">
        <v>33</v>
      </c>
      <c r="B372">
        <v>2023</v>
      </c>
      <c r="C372" t="s">
        <v>37</v>
      </c>
      <c r="D372" s="3">
        <v>178.28461538461539</v>
      </c>
      <c r="E372" s="3">
        <v>203.5</v>
      </c>
      <c r="F372" s="3">
        <v>175.86666666666667</v>
      </c>
      <c r="G372" s="3">
        <v>175.2</v>
      </c>
      <c r="H372" s="3">
        <v>181.5</v>
      </c>
      <c r="I372" s="3">
        <v>172.99999999999997</v>
      </c>
      <c r="J372" s="3">
        <v>174.2</v>
      </c>
      <c r="K372" s="3">
        <v>170.9</v>
      </c>
    </row>
    <row r="373" spans="1:11" hidden="1" x14ac:dyDescent="0.3">
      <c r="A373" t="s">
        <v>34</v>
      </c>
      <c r="B373">
        <v>2023</v>
      </c>
      <c r="C373" t="s">
        <v>37</v>
      </c>
      <c r="D373" s="3">
        <v>176.12307692307695</v>
      </c>
      <c r="E373" s="3">
        <v>200.6</v>
      </c>
      <c r="F373" s="3">
        <v>183.93333333333331</v>
      </c>
      <c r="G373" s="3">
        <v>175.2</v>
      </c>
      <c r="H373" s="3">
        <v>185</v>
      </c>
      <c r="I373" s="3">
        <v>175.1</v>
      </c>
      <c r="J373" s="3">
        <v>176.4</v>
      </c>
      <c r="K373" s="3">
        <v>175</v>
      </c>
    </row>
    <row r="374" spans="1:11" x14ac:dyDescent="0.3">
      <c r="A374" t="s">
        <v>30</v>
      </c>
      <c r="B374">
        <v>2023</v>
      </c>
      <c r="C374" t="s">
        <v>38</v>
      </c>
      <c r="D374" s="3">
        <v>176.20769230769235</v>
      </c>
      <c r="E374" s="3">
        <v>199.9</v>
      </c>
      <c r="F374" s="3">
        <v>189.9666666666667</v>
      </c>
      <c r="G374" s="3">
        <v>175.4</v>
      </c>
      <c r="H374" s="3">
        <v>187.8</v>
      </c>
      <c r="I374" s="3">
        <v>178.14</v>
      </c>
      <c r="J374" s="3">
        <v>180.3</v>
      </c>
      <c r="K374" s="3">
        <v>179.5</v>
      </c>
    </row>
    <row r="375" spans="1:11" hidden="1" x14ac:dyDescent="0.3">
      <c r="A375" t="s">
        <v>33</v>
      </c>
      <c r="B375">
        <v>2023</v>
      </c>
      <c r="C375" t="s">
        <v>38</v>
      </c>
      <c r="D375" s="3">
        <v>179.62307692307692</v>
      </c>
      <c r="E375" s="3">
        <v>204.2</v>
      </c>
      <c r="F375" s="3">
        <v>176.23333333333335</v>
      </c>
      <c r="G375" s="3">
        <v>175.6</v>
      </c>
      <c r="H375" s="3">
        <v>182.2</v>
      </c>
      <c r="I375" s="3">
        <v>173.73999999999998</v>
      </c>
      <c r="J375" s="3">
        <v>174.8</v>
      </c>
      <c r="K375" s="3">
        <v>171.6</v>
      </c>
    </row>
    <row r="376" spans="1:11" hidden="1" x14ac:dyDescent="0.3">
      <c r="A376" t="s">
        <v>34</v>
      </c>
      <c r="B376">
        <v>2023</v>
      </c>
      <c r="C376" t="s">
        <v>38</v>
      </c>
      <c r="D376" s="3">
        <v>177.45384615384617</v>
      </c>
      <c r="E376" s="3">
        <v>201</v>
      </c>
      <c r="F376" s="3">
        <v>184.4</v>
      </c>
      <c r="G376" s="3">
        <v>175.6</v>
      </c>
      <c r="H376" s="3">
        <v>185.7</v>
      </c>
      <c r="I376" s="3">
        <v>175.84</v>
      </c>
      <c r="J376" s="3">
        <v>177.1</v>
      </c>
      <c r="K376" s="3">
        <v>175.7</v>
      </c>
    </row>
  </sheetData>
  <autoFilter ref="A1:K376" xr:uid="{B346AE7D-43EE-40FF-9664-57F8DFC2C1BD}">
    <filterColumn colId="0">
      <filters>
        <filter val="Rural"/>
      </filters>
    </filterColumn>
    <filterColumn colId="1">
      <filters>
        <filter val="2021"/>
        <filter val="2022"/>
        <filter val="2023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921F-3F6D-4E2D-80E4-F41B45827DAB}">
  <sheetPr>
    <pageSetUpPr fitToPage="1"/>
  </sheetPr>
  <dimension ref="A1:AH42"/>
  <sheetViews>
    <sheetView topLeftCell="F15" zoomScaleNormal="100" workbookViewId="0">
      <selection activeCell="I27" sqref="I27"/>
    </sheetView>
  </sheetViews>
  <sheetFormatPr defaultRowHeight="14.4" x14ac:dyDescent="0.3"/>
  <cols>
    <col min="1" max="1" width="12.77734375" customWidth="1"/>
    <col min="2" max="2" width="24.33203125" bestFit="1" customWidth="1"/>
    <col min="3" max="3" width="32.44140625" bestFit="1" customWidth="1"/>
    <col min="4" max="4" width="19.33203125" customWidth="1"/>
    <col min="5" max="5" width="13.77734375" bestFit="1" customWidth="1"/>
    <col min="6" max="6" width="14.44140625" bestFit="1" customWidth="1"/>
    <col min="7" max="7" width="17.33203125" bestFit="1" customWidth="1"/>
    <col min="8" max="8" width="24.33203125" bestFit="1" customWidth="1"/>
    <col min="9" max="9" width="16.21875" customWidth="1"/>
    <col min="10" max="10" width="9.109375" customWidth="1"/>
    <col min="11" max="11" width="15.5546875" customWidth="1"/>
    <col min="12" max="12" width="14.44140625" bestFit="1" customWidth="1"/>
    <col min="13" max="13" width="8.5546875" bestFit="1" customWidth="1"/>
    <col min="14" max="14" width="23.33203125" bestFit="1" customWidth="1"/>
    <col min="15" max="15" width="33" bestFit="1" customWidth="1"/>
    <col min="16" max="16" width="19.21875" bestFit="1" customWidth="1"/>
    <col min="17" max="17" width="8.109375" bestFit="1" customWidth="1"/>
    <col min="18" max="18" width="32.21875" bestFit="1" customWidth="1"/>
    <col min="19" max="19" width="9.77734375" bestFit="1" customWidth="1"/>
    <col min="20" max="20" width="10.77734375" bestFit="1" customWidth="1"/>
    <col min="21" max="21" width="20.77734375" bestFit="1" customWidth="1"/>
    <col min="22" max="22" width="26.21875" bestFit="1" customWidth="1"/>
    <col min="23" max="23" width="9.77734375" bestFit="1" customWidth="1"/>
    <col min="24" max="24" width="11.44140625" bestFit="1" customWidth="1"/>
    <col min="25" max="25" width="9.77734375" bestFit="1" customWidth="1"/>
    <col min="26" max="26" width="13.6640625" bestFit="1" customWidth="1"/>
    <col min="27" max="27" width="27.77734375" bestFit="1" customWidth="1"/>
    <col min="28" max="28" width="27.44140625" bestFit="1" customWidth="1"/>
    <col min="29" max="29" width="25.5546875" bestFit="1" customWidth="1"/>
    <col min="30" max="30" width="23.88671875" bestFit="1" customWidth="1"/>
    <col min="31" max="31" width="18.5546875" bestFit="1" customWidth="1"/>
    <col min="32" max="32" width="13.109375" bestFit="1" customWidth="1"/>
    <col min="33" max="33" width="14.77734375" bestFit="1" customWidth="1"/>
    <col min="34" max="34" width="14.21875" bestFit="1" customWidth="1"/>
    <col min="35" max="35" width="26.5546875" bestFit="1" customWidth="1"/>
  </cols>
  <sheetData>
    <row r="1" spans="1:34" s="14" customForma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8" t="s">
        <v>49</v>
      </c>
      <c r="R1" s="18" t="s">
        <v>56</v>
      </c>
      <c r="S1" s="14" t="s">
        <v>17</v>
      </c>
      <c r="T1" s="14" t="s">
        <v>18</v>
      </c>
      <c r="U1" s="14" t="s">
        <v>19</v>
      </c>
      <c r="V1" s="18" t="s">
        <v>51</v>
      </c>
      <c r="W1" s="14" t="s">
        <v>20</v>
      </c>
      <c r="X1" s="18" t="s">
        <v>55</v>
      </c>
      <c r="Y1" s="18" t="s">
        <v>54</v>
      </c>
      <c r="Z1" s="14" t="s">
        <v>21</v>
      </c>
      <c r="AA1" s="14" t="s">
        <v>22</v>
      </c>
      <c r="AB1" s="14" t="s">
        <v>24</v>
      </c>
      <c r="AC1" s="14" t="s">
        <v>25</v>
      </c>
      <c r="AD1" s="14" t="s">
        <v>27</v>
      </c>
      <c r="AE1" s="18" t="s">
        <v>52</v>
      </c>
      <c r="AF1" s="18" t="s">
        <v>53</v>
      </c>
      <c r="AG1" s="18" t="s">
        <v>28</v>
      </c>
      <c r="AH1" s="14" t="s">
        <v>29</v>
      </c>
    </row>
    <row r="2" spans="1:34" x14ac:dyDescent="0.3">
      <c r="A2" t="s">
        <v>30</v>
      </c>
      <c r="B2">
        <v>2023</v>
      </c>
      <c r="C2" t="s">
        <v>38</v>
      </c>
      <c r="D2">
        <v>173.2</v>
      </c>
      <c r="E2">
        <v>211.5</v>
      </c>
      <c r="F2">
        <v>171</v>
      </c>
      <c r="G2">
        <v>179.6</v>
      </c>
      <c r="H2">
        <v>173.3</v>
      </c>
      <c r="I2">
        <v>169</v>
      </c>
      <c r="J2">
        <v>148.69999999999999</v>
      </c>
      <c r="K2">
        <v>174.9</v>
      </c>
      <c r="L2">
        <v>121.9</v>
      </c>
      <c r="M2">
        <v>221</v>
      </c>
      <c r="N2">
        <v>178.7</v>
      </c>
      <c r="O2">
        <v>191.1</v>
      </c>
      <c r="P2">
        <v>176.8</v>
      </c>
      <c r="Q2" s="3">
        <v>176.20769230769235</v>
      </c>
      <c r="R2" s="3">
        <v>199.9</v>
      </c>
      <c r="S2">
        <v>191.2</v>
      </c>
      <c r="T2">
        <v>187.9</v>
      </c>
      <c r="U2">
        <v>190.8</v>
      </c>
      <c r="V2" s="3">
        <v>189.9666666666667</v>
      </c>
      <c r="W2" t="s">
        <v>48</v>
      </c>
      <c r="X2" s="3">
        <v>175.4</v>
      </c>
      <c r="Y2" s="3">
        <v>187.8</v>
      </c>
      <c r="Z2">
        <v>182.5</v>
      </c>
      <c r="AA2">
        <v>179.8</v>
      </c>
      <c r="AB2">
        <v>169.7</v>
      </c>
      <c r="AC2">
        <v>173.8</v>
      </c>
      <c r="AD2">
        <v>184.9</v>
      </c>
      <c r="AE2" s="3">
        <v>178.14</v>
      </c>
      <c r="AF2" s="3">
        <v>180.3</v>
      </c>
      <c r="AG2" s="3">
        <v>179.5</v>
      </c>
      <c r="AH2">
        <v>179.8</v>
      </c>
    </row>
    <row r="3" spans="1:34" x14ac:dyDescent="0.3">
      <c r="A3" t="s">
        <v>33</v>
      </c>
      <c r="B3">
        <v>2023</v>
      </c>
      <c r="C3" t="s">
        <v>38</v>
      </c>
      <c r="D3">
        <v>174.7</v>
      </c>
      <c r="E3">
        <v>219.4</v>
      </c>
      <c r="F3">
        <v>176.7</v>
      </c>
      <c r="G3">
        <v>179.4</v>
      </c>
      <c r="H3">
        <v>164.4</v>
      </c>
      <c r="I3">
        <v>175.8</v>
      </c>
      <c r="J3">
        <v>185</v>
      </c>
      <c r="K3">
        <v>176.9</v>
      </c>
      <c r="L3">
        <v>124.2</v>
      </c>
      <c r="M3">
        <v>211.9</v>
      </c>
      <c r="N3">
        <v>165.9</v>
      </c>
      <c r="O3">
        <v>197.7</v>
      </c>
      <c r="P3">
        <v>183.1</v>
      </c>
      <c r="Q3" s="3">
        <v>179.62307692307692</v>
      </c>
      <c r="R3" s="3">
        <v>204.2</v>
      </c>
      <c r="S3">
        <v>181.3</v>
      </c>
      <c r="T3">
        <v>168.1</v>
      </c>
      <c r="U3">
        <v>179.3</v>
      </c>
      <c r="V3" s="3">
        <v>176.23333333333335</v>
      </c>
      <c r="W3">
        <v>175.6</v>
      </c>
      <c r="X3" s="3">
        <v>175.6</v>
      </c>
      <c r="Y3" s="3">
        <v>182.2</v>
      </c>
      <c r="Z3">
        <v>183.4</v>
      </c>
      <c r="AA3">
        <v>170.1</v>
      </c>
      <c r="AB3">
        <v>160.4</v>
      </c>
      <c r="AC3">
        <v>169.2</v>
      </c>
      <c r="AD3">
        <v>185.6</v>
      </c>
      <c r="AE3" s="3">
        <v>173.73999999999998</v>
      </c>
      <c r="AF3" s="3">
        <v>174.8</v>
      </c>
      <c r="AG3" s="3">
        <v>171.6</v>
      </c>
      <c r="AH3">
        <v>178.2</v>
      </c>
    </row>
    <row r="4" spans="1:34" x14ac:dyDescent="0.3">
      <c r="A4" t="s">
        <v>34</v>
      </c>
      <c r="B4">
        <v>2023</v>
      </c>
      <c r="C4" t="s">
        <v>38</v>
      </c>
      <c r="D4">
        <v>173.7</v>
      </c>
      <c r="E4">
        <v>214.3</v>
      </c>
      <c r="F4">
        <v>173.2</v>
      </c>
      <c r="G4">
        <v>179.5</v>
      </c>
      <c r="H4">
        <v>170</v>
      </c>
      <c r="I4">
        <v>172.2</v>
      </c>
      <c r="J4">
        <v>161</v>
      </c>
      <c r="K4">
        <v>175.6</v>
      </c>
      <c r="L4">
        <v>122.7</v>
      </c>
      <c r="M4">
        <v>218</v>
      </c>
      <c r="N4">
        <v>173.4</v>
      </c>
      <c r="O4">
        <v>194.2</v>
      </c>
      <c r="P4">
        <v>179.1</v>
      </c>
      <c r="Q4" s="3">
        <v>177.45384615384617</v>
      </c>
      <c r="R4" s="3">
        <v>201</v>
      </c>
      <c r="S4">
        <v>187.3</v>
      </c>
      <c r="T4">
        <v>179.7</v>
      </c>
      <c r="U4">
        <v>186.2</v>
      </c>
      <c r="V4" s="3">
        <v>184.4</v>
      </c>
      <c r="W4">
        <v>175.6</v>
      </c>
      <c r="X4" s="3">
        <v>175.6</v>
      </c>
      <c r="Y4" s="3">
        <v>185.7</v>
      </c>
      <c r="Z4">
        <v>182.8</v>
      </c>
      <c r="AA4">
        <v>175.2</v>
      </c>
      <c r="AB4">
        <v>164.8</v>
      </c>
      <c r="AC4">
        <v>171.2</v>
      </c>
      <c r="AD4">
        <v>185.2</v>
      </c>
      <c r="AE4" s="3">
        <v>175.84</v>
      </c>
      <c r="AF4" s="3">
        <v>177.1</v>
      </c>
      <c r="AG4" s="3">
        <v>175.7</v>
      </c>
      <c r="AH4">
        <v>179.1</v>
      </c>
    </row>
    <row r="7" spans="1:34" x14ac:dyDescent="0.3">
      <c r="D7" s="47" t="s">
        <v>66</v>
      </c>
      <c r="E7" s="47"/>
      <c r="F7" s="47"/>
      <c r="G7" s="47"/>
    </row>
    <row r="8" spans="1:34" x14ac:dyDescent="0.3">
      <c r="A8" s="14" t="s">
        <v>0</v>
      </c>
      <c r="B8" s="14" t="s">
        <v>1</v>
      </c>
      <c r="C8" s="14" t="s">
        <v>2</v>
      </c>
      <c r="D8" s="18" t="s">
        <v>49</v>
      </c>
      <c r="E8" s="18" t="s">
        <v>56</v>
      </c>
      <c r="F8" s="18" t="s">
        <v>51</v>
      </c>
      <c r="G8" s="18" t="s">
        <v>55</v>
      </c>
      <c r="H8" s="18" t="s">
        <v>54</v>
      </c>
      <c r="I8" s="18" t="s">
        <v>52</v>
      </c>
      <c r="J8" s="18" t="s">
        <v>53</v>
      </c>
      <c r="K8" s="18" t="s">
        <v>28</v>
      </c>
    </row>
    <row r="9" spans="1:34" x14ac:dyDescent="0.3">
      <c r="A9" t="s">
        <v>30</v>
      </c>
      <c r="B9">
        <v>2023</v>
      </c>
      <c r="C9" t="s">
        <v>38</v>
      </c>
      <c r="D9" s="3">
        <v>176.20769230769235</v>
      </c>
      <c r="E9" s="3">
        <v>199.9</v>
      </c>
      <c r="F9" s="3">
        <v>189.9666666666667</v>
      </c>
      <c r="G9" s="3">
        <v>175.4</v>
      </c>
      <c r="H9" s="3">
        <v>187.8</v>
      </c>
      <c r="I9" s="3">
        <v>178.14</v>
      </c>
      <c r="J9" s="3">
        <v>180.3</v>
      </c>
      <c r="K9" s="3">
        <v>179.5</v>
      </c>
    </row>
    <row r="10" spans="1:34" x14ac:dyDescent="0.3">
      <c r="A10" t="s">
        <v>33</v>
      </c>
      <c r="B10">
        <v>2023</v>
      </c>
      <c r="C10" t="s">
        <v>38</v>
      </c>
      <c r="D10" s="3">
        <v>179.62307692307692</v>
      </c>
      <c r="E10" s="3">
        <v>204.2</v>
      </c>
      <c r="F10" s="3">
        <v>176.23333333333335</v>
      </c>
      <c r="G10" s="3">
        <v>175.6</v>
      </c>
      <c r="H10" s="3">
        <v>182.2</v>
      </c>
      <c r="I10" s="3">
        <v>173.73999999999998</v>
      </c>
      <c r="J10" s="3">
        <v>174.8</v>
      </c>
      <c r="K10" s="3">
        <v>171.6</v>
      </c>
    </row>
    <row r="11" spans="1:34" x14ac:dyDescent="0.3">
      <c r="A11" t="s">
        <v>34</v>
      </c>
      <c r="B11">
        <v>2023</v>
      </c>
      <c r="C11" t="s">
        <v>38</v>
      </c>
      <c r="D11" s="3">
        <v>177.45384615384617</v>
      </c>
      <c r="E11" s="3">
        <v>201</v>
      </c>
      <c r="F11" s="3">
        <v>184.4</v>
      </c>
      <c r="G11" s="3">
        <v>175.6</v>
      </c>
      <c r="H11" s="3">
        <v>185.7</v>
      </c>
      <c r="I11" s="3">
        <v>175.84</v>
      </c>
      <c r="J11" s="3">
        <v>177.1</v>
      </c>
      <c r="K11" s="3">
        <v>175.7</v>
      </c>
    </row>
    <row r="15" spans="1:34" ht="18.600000000000001" x14ac:dyDescent="0.45">
      <c r="B15" s="4" t="s">
        <v>59</v>
      </c>
      <c r="C15" s="4" t="s">
        <v>57</v>
      </c>
      <c r="D15" s="4" t="s">
        <v>133</v>
      </c>
      <c r="E15" s="4" t="s">
        <v>58</v>
      </c>
      <c r="F15" s="4" t="s">
        <v>134</v>
      </c>
      <c r="H15" s="7" t="s">
        <v>59</v>
      </c>
      <c r="I15" s="8" t="s">
        <v>133</v>
      </c>
      <c r="J15" s="8" t="s">
        <v>58</v>
      </c>
      <c r="K15" s="9" t="s">
        <v>134</v>
      </c>
      <c r="N15" s="15"/>
      <c r="O15" s="46" t="s">
        <v>61</v>
      </c>
      <c r="P15" s="46"/>
    </row>
    <row r="16" spans="1:34" x14ac:dyDescent="0.3">
      <c r="B16" s="5" t="s">
        <v>49</v>
      </c>
      <c r="C16" s="5" t="s">
        <v>3</v>
      </c>
      <c r="D16" cm="1">
        <f t="array" ref="D16:F28">TRANSPOSE(D2:P4)</f>
        <v>173.2</v>
      </c>
      <c r="E16">
        <v>174.7</v>
      </c>
      <c r="F16">
        <v>173.7</v>
      </c>
      <c r="H16" s="10" t="s">
        <v>49</v>
      </c>
      <c r="I16" s="6">
        <f>SUM(D16:D28)</f>
        <v>2290.7000000000007</v>
      </c>
      <c r="J16" s="6">
        <f>SUM(E16:E28)</f>
        <v>2335.1</v>
      </c>
      <c r="K16" s="6">
        <f>SUM(F16:F28)</f>
        <v>2306.9</v>
      </c>
    </row>
    <row r="17" spans="2:11" x14ac:dyDescent="0.3">
      <c r="B17" s="5" t="s">
        <v>49</v>
      </c>
      <c r="C17" s="5" t="s">
        <v>4</v>
      </c>
      <c r="D17">
        <v>211.5</v>
      </c>
      <c r="E17">
        <v>219.4</v>
      </c>
      <c r="F17">
        <v>214.3</v>
      </c>
      <c r="H17" s="10" t="s">
        <v>51</v>
      </c>
      <c r="I17" s="6">
        <f>SUM(D29:D31)</f>
        <v>569.90000000000009</v>
      </c>
      <c r="J17" s="6">
        <f>SUM(E29:E31)</f>
        <v>528.70000000000005</v>
      </c>
      <c r="K17" s="6">
        <f>SUM(F29:F31)</f>
        <v>553.20000000000005</v>
      </c>
    </row>
    <row r="18" spans="2:11" x14ac:dyDescent="0.3">
      <c r="B18" s="5" t="s">
        <v>49</v>
      </c>
      <c r="C18" s="5" t="s">
        <v>5</v>
      </c>
      <c r="D18">
        <v>171</v>
      </c>
      <c r="E18">
        <v>176.7</v>
      </c>
      <c r="F18">
        <v>173.2</v>
      </c>
      <c r="H18" s="10" t="s">
        <v>55</v>
      </c>
      <c r="I18" s="6">
        <v>175.4</v>
      </c>
      <c r="J18" s="6">
        <v>175.6</v>
      </c>
      <c r="K18" s="6">
        <v>175.6</v>
      </c>
    </row>
    <row r="19" spans="2:11" x14ac:dyDescent="0.3">
      <c r="B19" s="5" t="s">
        <v>49</v>
      </c>
      <c r="C19" s="5" t="s">
        <v>6</v>
      </c>
      <c r="D19">
        <v>179.6</v>
      </c>
      <c r="E19">
        <v>179.4</v>
      </c>
      <c r="F19">
        <v>179.5</v>
      </c>
      <c r="H19" s="10" t="s">
        <v>54</v>
      </c>
      <c r="I19" s="6">
        <v>187.8</v>
      </c>
      <c r="J19" s="6">
        <v>182.2</v>
      </c>
      <c r="K19" s="11">
        <v>185.7</v>
      </c>
    </row>
    <row r="20" spans="2:11" x14ac:dyDescent="0.3">
      <c r="B20" s="5" t="s">
        <v>49</v>
      </c>
      <c r="C20" s="5" t="s">
        <v>7</v>
      </c>
      <c r="D20">
        <v>173.3</v>
      </c>
      <c r="E20">
        <v>164.4</v>
      </c>
      <c r="F20">
        <v>170</v>
      </c>
      <c r="H20" s="10" t="s">
        <v>52</v>
      </c>
      <c r="I20" s="6">
        <f>SUM(D34:D38)</f>
        <v>890.69999999999993</v>
      </c>
      <c r="J20" s="6">
        <f>SUM(E34:E38)</f>
        <v>868.69999999999993</v>
      </c>
      <c r="K20" s="6">
        <f>SUM(F34:F38)</f>
        <v>879.2</v>
      </c>
    </row>
    <row r="21" spans="2:11" x14ac:dyDescent="0.3">
      <c r="B21" s="5" t="s">
        <v>49</v>
      </c>
      <c r="C21" s="5" t="s">
        <v>8</v>
      </c>
      <c r="D21">
        <v>169</v>
      </c>
      <c r="E21">
        <v>175.8</v>
      </c>
      <c r="F21">
        <v>172.2</v>
      </c>
      <c r="H21" s="10" t="s">
        <v>50</v>
      </c>
      <c r="I21" s="6">
        <v>199.9</v>
      </c>
      <c r="J21" s="6">
        <v>204.2</v>
      </c>
      <c r="K21" s="11">
        <v>201</v>
      </c>
    </row>
    <row r="22" spans="2:11" x14ac:dyDescent="0.3">
      <c r="B22" s="5" t="s">
        <v>49</v>
      </c>
      <c r="C22" s="5" t="s">
        <v>9</v>
      </c>
      <c r="D22">
        <v>148.69999999999999</v>
      </c>
      <c r="E22">
        <v>185</v>
      </c>
      <c r="F22">
        <v>161</v>
      </c>
      <c r="H22" s="10" t="s">
        <v>53</v>
      </c>
      <c r="I22" s="6">
        <v>180.3</v>
      </c>
      <c r="J22" s="6">
        <v>174.8</v>
      </c>
      <c r="K22" s="11">
        <v>177.1</v>
      </c>
    </row>
    <row r="23" spans="2:11" x14ac:dyDescent="0.3">
      <c r="B23" s="5" t="s">
        <v>49</v>
      </c>
      <c r="C23" s="5" t="s">
        <v>10</v>
      </c>
      <c r="D23">
        <v>174.9</v>
      </c>
      <c r="E23">
        <v>176.9</v>
      </c>
      <c r="F23">
        <v>175.6</v>
      </c>
      <c r="H23" s="12" t="s">
        <v>60</v>
      </c>
      <c r="I23" s="13">
        <f>SUM(D41:D42)</f>
        <v>179.5</v>
      </c>
      <c r="J23" s="13">
        <f>SUM(E41:E42)</f>
        <v>171.6</v>
      </c>
      <c r="K23" s="13">
        <f>SUM(F41:F42)</f>
        <v>175.7</v>
      </c>
    </row>
    <row r="24" spans="2:11" x14ac:dyDescent="0.3">
      <c r="B24" s="5" t="s">
        <v>49</v>
      </c>
      <c r="C24" s="5" t="s">
        <v>11</v>
      </c>
      <c r="D24">
        <v>121.9</v>
      </c>
      <c r="E24">
        <v>124.2</v>
      </c>
      <c r="F24">
        <v>122.7</v>
      </c>
      <c r="H24" s="25" t="s">
        <v>64</v>
      </c>
      <c r="I24" s="26">
        <f>SUM(I16:I23)</f>
        <v>4674.2000000000007</v>
      </c>
      <c r="J24" s="26">
        <f>SUM(J16:J23)</f>
        <v>4640.9000000000005</v>
      </c>
      <c r="K24" s="27">
        <f>SUM(K16:K23)</f>
        <v>4654.4000000000005</v>
      </c>
    </row>
    <row r="25" spans="2:11" x14ac:dyDescent="0.3">
      <c r="B25" s="5" t="s">
        <v>49</v>
      </c>
      <c r="C25" s="5" t="s">
        <v>12</v>
      </c>
      <c r="D25">
        <v>221</v>
      </c>
      <c r="E25">
        <v>211.9</v>
      </c>
      <c r="F25">
        <v>218</v>
      </c>
    </row>
    <row r="26" spans="2:11" x14ac:dyDescent="0.3">
      <c r="B26" s="5" t="s">
        <v>49</v>
      </c>
      <c r="C26" s="5" t="s">
        <v>13</v>
      </c>
      <c r="D26">
        <v>178.7</v>
      </c>
      <c r="E26">
        <v>165.9</v>
      </c>
      <c r="F26">
        <v>173.4</v>
      </c>
    </row>
    <row r="27" spans="2:11" x14ac:dyDescent="0.3">
      <c r="B27" s="5" t="s">
        <v>49</v>
      </c>
      <c r="C27" s="5" t="s">
        <v>14</v>
      </c>
      <c r="D27">
        <v>191.1</v>
      </c>
      <c r="E27">
        <v>197.7</v>
      </c>
      <c r="F27">
        <v>194.2</v>
      </c>
    </row>
    <row r="28" spans="2:11" x14ac:dyDescent="0.3">
      <c r="B28" s="5" t="s">
        <v>49</v>
      </c>
      <c r="C28" s="5" t="s">
        <v>15</v>
      </c>
      <c r="D28">
        <v>176.8</v>
      </c>
      <c r="E28">
        <v>183.1</v>
      </c>
      <c r="F28">
        <v>179.1</v>
      </c>
      <c r="H28" s="23" t="s">
        <v>59</v>
      </c>
      <c r="I28" s="23" t="s">
        <v>133</v>
      </c>
      <c r="J28" s="23" t="s">
        <v>58</v>
      </c>
      <c r="K28" s="24" t="s">
        <v>134</v>
      </c>
    </row>
    <row r="29" spans="2:11" x14ac:dyDescent="0.3">
      <c r="B29" s="5" t="s">
        <v>51</v>
      </c>
      <c r="C29" s="5" t="s">
        <v>17</v>
      </c>
      <c r="D29" cm="1">
        <f t="array" ref="D29:F31">TRANSPOSE(S2:U4)</f>
        <v>191.2</v>
      </c>
      <c r="E29">
        <v>181.3</v>
      </c>
      <c r="F29">
        <v>187.3</v>
      </c>
      <c r="H29" s="5" t="s">
        <v>49</v>
      </c>
      <c r="I29" s="20">
        <f t="shared" ref="I29:I36" si="0">I16/$I$24</f>
        <v>0.49007316760087294</v>
      </c>
      <c r="J29" s="20">
        <f>J16/$J$24</f>
        <v>0.50315671529229233</v>
      </c>
      <c r="K29" s="20">
        <f>K16/$K$24</f>
        <v>0.49563853557923682</v>
      </c>
    </row>
    <row r="30" spans="2:11" x14ac:dyDescent="0.3">
      <c r="B30" s="5" t="s">
        <v>51</v>
      </c>
      <c r="C30" s="5" t="s">
        <v>18</v>
      </c>
      <c r="D30">
        <v>187.9</v>
      </c>
      <c r="E30">
        <v>168.1</v>
      </c>
      <c r="F30">
        <v>179.7</v>
      </c>
      <c r="H30" s="5" t="s">
        <v>51</v>
      </c>
      <c r="I30" s="20">
        <f t="shared" si="0"/>
        <v>0.12192460741945146</v>
      </c>
      <c r="J30" s="20">
        <f t="shared" ref="J30:J36" si="1">J17/$J$24</f>
        <v>0.11392186860307267</v>
      </c>
      <c r="K30" s="20">
        <f t="shared" ref="K30:K36" si="2">K17/$K$24</f>
        <v>0.11885527672739772</v>
      </c>
    </row>
    <row r="31" spans="2:11" x14ac:dyDescent="0.3">
      <c r="B31" s="5" t="s">
        <v>51</v>
      </c>
      <c r="C31" s="5" t="s">
        <v>19</v>
      </c>
      <c r="D31">
        <v>190.8</v>
      </c>
      <c r="E31">
        <v>179.3</v>
      </c>
      <c r="F31">
        <v>186.2</v>
      </c>
      <c r="H31" s="5" t="s">
        <v>55</v>
      </c>
      <c r="I31" s="20">
        <f t="shared" si="0"/>
        <v>3.7525137991527957E-2</v>
      </c>
      <c r="J31" s="20">
        <f t="shared" si="1"/>
        <v>3.7837488418194738E-2</v>
      </c>
      <c r="K31" s="20">
        <f t="shared" si="2"/>
        <v>3.7727741491921617E-2</v>
      </c>
    </row>
    <row r="32" spans="2:11" x14ac:dyDescent="0.3">
      <c r="B32" s="5" t="s">
        <v>55</v>
      </c>
      <c r="C32" s="5" t="s">
        <v>20</v>
      </c>
      <c r="D32" cm="1">
        <f t="array" ref="D32:F38">TRANSPOSE(X2:AD4)</f>
        <v>175.4</v>
      </c>
      <c r="E32">
        <v>175.6</v>
      </c>
      <c r="F32">
        <v>175.6</v>
      </c>
      <c r="H32" s="5" t="s">
        <v>54</v>
      </c>
      <c r="I32" s="20">
        <f t="shared" si="0"/>
        <v>4.0177998374053309E-2</v>
      </c>
      <c r="J32" s="20">
        <f t="shared" si="1"/>
        <v>3.9259626365575638E-2</v>
      </c>
      <c r="K32" s="20">
        <f t="shared" si="2"/>
        <v>3.9897731179099338E-2</v>
      </c>
    </row>
    <row r="33" spans="2:15" x14ac:dyDescent="0.3">
      <c r="B33" s="5" t="s">
        <v>54</v>
      </c>
      <c r="C33" s="5" t="s">
        <v>23</v>
      </c>
      <c r="D33">
        <v>187.8</v>
      </c>
      <c r="E33">
        <v>182.2</v>
      </c>
      <c r="F33">
        <v>185.7</v>
      </c>
      <c r="H33" s="5" t="s">
        <v>52</v>
      </c>
      <c r="I33" s="20">
        <f t="shared" si="0"/>
        <v>0.19055667279962343</v>
      </c>
      <c r="J33" s="20">
        <f t="shared" si="1"/>
        <v>0.18718352043784606</v>
      </c>
      <c r="K33" s="20">
        <f t="shared" si="2"/>
        <v>0.1888965280165005</v>
      </c>
    </row>
    <row r="34" spans="2:15" x14ac:dyDescent="0.3">
      <c r="B34" s="5" t="s">
        <v>52</v>
      </c>
      <c r="C34" s="5" t="s">
        <v>21</v>
      </c>
      <c r="D34">
        <v>182.5</v>
      </c>
      <c r="E34">
        <v>183.4</v>
      </c>
      <c r="F34">
        <v>182.8</v>
      </c>
      <c r="H34" s="5" t="s">
        <v>50</v>
      </c>
      <c r="I34" s="20">
        <f t="shared" si="0"/>
        <v>4.2766676650549819E-2</v>
      </c>
      <c r="J34" s="20">
        <f t="shared" si="1"/>
        <v>4.4000086190178624E-2</v>
      </c>
      <c r="K34" s="20">
        <f t="shared" si="2"/>
        <v>4.3184943279477479E-2</v>
      </c>
    </row>
    <row r="35" spans="2:15" x14ac:dyDescent="0.3">
      <c r="B35" s="5" t="s">
        <v>52</v>
      </c>
      <c r="C35" s="5" t="s">
        <v>22</v>
      </c>
      <c r="D35">
        <v>179.8</v>
      </c>
      <c r="E35">
        <v>170.1</v>
      </c>
      <c r="F35">
        <v>175.2</v>
      </c>
      <c r="H35" s="5" t="s">
        <v>53</v>
      </c>
      <c r="I35" s="20">
        <f t="shared" si="0"/>
        <v>3.8573445723332329E-2</v>
      </c>
      <c r="J35" s="20">
        <f t="shared" si="1"/>
        <v>3.7665108060936453E-2</v>
      </c>
      <c r="K35" s="20">
        <f t="shared" si="2"/>
        <v>3.8050017188037119E-2</v>
      </c>
    </row>
    <row r="36" spans="2:15" x14ac:dyDescent="0.3">
      <c r="B36" s="5" t="s">
        <v>52</v>
      </c>
      <c r="C36" s="5" t="s">
        <v>24</v>
      </c>
      <c r="D36">
        <v>169.7</v>
      </c>
      <c r="E36">
        <v>160.4</v>
      </c>
      <c r="F36">
        <v>164.8</v>
      </c>
      <c r="H36" s="22" t="s">
        <v>60</v>
      </c>
      <c r="I36" s="20">
        <f t="shared" si="0"/>
        <v>3.8402293440588757E-2</v>
      </c>
      <c r="J36" s="20">
        <f t="shared" si="1"/>
        <v>3.6975586631903291E-2</v>
      </c>
      <c r="K36" s="20">
        <f t="shared" si="2"/>
        <v>3.7749226538329315E-2</v>
      </c>
    </row>
    <row r="37" spans="2:15" x14ac:dyDescent="0.3">
      <c r="B37" s="5" t="s">
        <v>52</v>
      </c>
      <c r="C37" s="5" t="s">
        <v>25</v>
      </c>
      <c r="D37">
        <v>173.8</v>
      </c>
      <c r="E37">
        <v>169.2</v>
      </c>
      <c r="F37">
        <v>171.2</v>
      </c>
    </row>
    <row r="38" spans="2:15" x14ac:dyDescent="0.3">
      <c r="B38" s="5" t="s">
        <v>52</v>
      </c>
      <c r="C38" s="5" t="s">
        <v>27</v>
      </c>
      <c r="D38">
        <v>184.9</v>
      </c>
      <c r="E38">
        <v>185.6</v>
      </c>
      <c r="F38">
        <v>185.2</v>
      </c>
      <c r="N38" s="16" t="s">
        <v>62</v>
      </c>
      <c r="O38" s="17" t="s">
        <v>135</v>
      </c>
    </row>
    <row r="39" spans="2:15" x14ac:dyDescent="0.3">
      <c r="B39" s="5" t="s">
        <v>53</v>
      </c>
      <c r="C39" s="5" t="s">
        <v>26</v>
      </c>
      <c r="D39" cm="1">
        <f t="array" ref="D39:F39">TRANSPOSE(AF2:AF4)</f>
        <v>180.3</v>
      </c>
      <c r="E39">
        <v>174.8</v>
      </c>
      <c r="F39">
        <v>177.1</v>
      </c>
      <c r="G39" s="16" t="s">
        <v>62</v>
      </c>
      <c r="H39" s="17" t="s">
        <v>65</v>
      </c>
    </row>
    <row r="40" spans="2:15" x14ac:dyDescent="0.3">
      <c r="B40" s="5" t="s">
        <v>50</v>
      </c>
      <c r="C40" s="5" t="s">
        <v>56</v>
      </c>
      <c r="D40" cm="1">
        <f t="array" ref="D40:F40">TRANSPOSE(R2:R4)</f>
        <v>199.9</v>
      </c>
      <c r="E40">
        <v>204.2</v>
      </c>
      <c r="F40">
        <v>201</v>
      </c>
    </row>
    <row r="41" spans="2:15" x14ac:dyDescent="0.3">
      <c r="B41" s="5" t="s">
        <v>60</v>
      </c>
      <c r="C41" s="5" t="s">
        <v>28</v>
      </c>
      <c r="D41" cm="1">
        <f t="array" ref="D41:F41">TRANSPOSE(AG2:AG4)</f>
        <v>179.5</v>
      </c>
      <c r="E41">
        <v>171.6</v>
      </c>
      <c r="F41">
        <v>175.7</v>
      </c>
    </row>
    <row r="42" spans="2:15" x14ac:dyDescent="0.3">
      <c r="B42" s="5"/>
      <c r="C42" s="5"/>
    </row>
  </sheetData>
  <mergeCells count="2">
    <mergeCell ref="O15:P15"/>
    <mergeCell ref="D7:G7"/>
  </mergeCells>
  <pageMargins left="0.25" right="0.25" top="0.75" bottom="0.75" header="0.3" footer="0.3"/>
  <pageSetup scale="21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877F-2354-4CD2-87A1-44C609C48162}">
  <dimension ref="A1:T84"/>
  <sheetViews>
    <sheetView zoomScale="90" zoomScaleNormal="90" workbookViewId="0">
      <selection activeCell="H13" sqref="H13"/>
    </sheetView>
  </sheetViews>
  <sheetFormatPr defaultRowHeight="14.4" x14ac:dyDescent="0.3"/>
  <cols>
    <col min="1" max="1" width="11.109375" bestFit="1" customWidth="1"/>
    <col min="2" max="2" width="6.88671875" bestFit="1" customWidth="1"/>
    <col min="3" max="3" width="14.21875" bestFit="1" customWidth="1"/>
    <col min="8" max="8" width="11" bestFit="1" customWidth="1"/>
    <col min="9" max="9" width="13.44140625" bestFit="1" customWidth="1"/>
    <col min="17" max="17" width="18.21875" customWidth="1"/>
  </cols>
  <sheetData>
    <row r="1" spans="1:9" x14ac:dyDescent="0.3">
      <c r="A1" t="s">
        <v>0</v>
      </c>
      <c r="B1" t="s">
        <v>1</v>
      </c>
      <c r="C1" t="s">
        <v>29</v>
      </c>
      <c r="D1" t="s">
        <v>67</v>
      </c>
      <c r="G1" t="s">
        <v>68</v>
      </c>
      <c r="H1" t="s">
        <v>69</v>
      </c>
      <c r="I1" t="s">
        <v>70</v>
      </c>
    </row>
    <row r="2" spans="1:9" x14ac:dyDescent="0.3">
      <c r="A2" t="s">
        <v>34</v>
      </c>
      <c r="B2">
        <v>2016</v>
      </c>
      <c r="C2">
        <v>130.1</v>
      </c>
      <c r="D2" s="6">
        <f>AVERAGE(C2:C8)</f>
        <v>130.88571428571427</v>
      </c>
      <c r="G2">
        <v>2016</v>
      </c>
      <c r="H2">
        <v>130.9</v>
      </c>
      <c r="I2" s="6"/>
    </row>
    <row r="3" spans="1:9" x14ac:dyDescent="0.3">
      <c r="A3" t="s">
        <v>34</v>
      </c>
      <c r="B3">
        <v>2016</v>
      </c>
      <c r="C3">
        <v>131.1</v>
      </c>
      <c r="G3">
        <v>2017</v>
      </c>
      <c r="H3" s="6">
        <v>133.5</v>
      </c>
      <c r="I3" s="20">
        <f>(H3-H2)/H2</f>
        <v>1.98624904507257E-2</v>
      </c>
    </row>
    <row r="4" spans="1:9" x14ac:dyDescent="0.3">
      <c r="A4" t="s">
        <v>34</v>
      </c>
      <c r="B4">
        <v>2016</v>
      </c>
      <c r="C4">
        <v>131.1</v>
      </c>
      <c r="G4">
        <v>2018</v>
      </c>
      <c r="H4" s="6">
        <v>138.5</v>
      </c>
      <c r="I4" s="20">
        <f t="shared" ref="I4:I9" si="0">(H4-H3)/H3</f>
        <v>3.7453183520599252E-2</v>
      </c>
    </row>
    <row r="5" spans="1:9" x14ac:dyDescent="0.3">
      <c r="A5" t="s">
        <v>34</v>
      </c>
      <c r="B5">
        <v>2016</v>
      </c>
      <c r="C5">
        <v>130.9</v>
      </c>
      <c r="G5">
        <v>2019</v>
      </c>
      <c r="H5" s="6">
        <v>144.18180000000001</v>
      </c>
      <c r="I5" s="20">
        <f>(H5-H4)/H4</f>
        <v>4.1023826714801516E-2</v>
      </c>
    </row>
    <row r="6" spans="1:9" x14ac:dyDescent="0.3">
      <c r="A6" t="s">
        <v>34</v>
      </c>
      <c r="B6">
        <v>2016</v>
      </c>
      <c r="C6">
        <v>131.4</v>
      </c>
      <c r="G6">
        <v>2020</v>
      </c>
      <c r="H6" s="6">
        <v>153.06540000000001</v>
      </c>
      <c r="I6" s="20">
        <f t="shared" si="0"/>
        <v>6.1613879144247062E-2</v>
      </c>
    </row>
    <row r="7" spans="1:9" x14ac:dyDescent="0.3">
      <c r="A7" t="s">
        <v>34</v>
      </c>
      <c r="B7">
        <v>2016</v>
      </c>
      <c r="C7">
        <v>131.19999999999999</v>
      </c>
      <c r="G7">
        <v>2021</v>
      </c>
      <c r="H7" s="6">
        <v>161.45833333333334</v>
      </c>
      <c r="I7" s="20">
        <f t="shared" si="0"/>
        <v>5.4832335285004523E-2</v>
      </c>
    </row>
    <row r="8" spans="1:9" x14ac:dyDescent="0.3">
      <c r="A8" t="s">
        <v>34</v>
      </c>
      <c r="B8">
        <v>2016</v>
      </c>
      <c r="C8">
        <v>130.4</v>
      </c>
      <c r="G8">
        <v>2022</v>
      </c>
      <c r="H8" s="6">
        <v>172.14999999999998</v>
      </c>
      <c r="I8" s="20">
        <f t="shared" si="0"/>
        <v>6.6219354838709471E-2</v>
      </c>
    </row>
    <row r="9" spans="1:9" x14ac:dyDescent="0.3">
      <c r="A9" t="s">
        <v>34</v>
      </c>
      <c r="B9">
        <v>2017</v>
      </c>
      <c r="C9">
        <v>130.30000000000001</v>
      </c>
      <c r="D9">
        <f>AVERAGE(C9:C20)</f>
        <v>133.5</v>
      </c>
      <c r="G9">
        <v>2023</v>
      </c>
      <c r="H9" s="6">
        <v>177.62</v>
      </c>
      <c r="I9" s="20">
        <f t="shared" si="0"/>
        <v>3.1774615161196791E-2</v>
      </c>
    </row>
    <row r="10" spans="1:9" x14ac:dyDescent="0.3">
      <c r="A10" t="s">
        <v>34</v>
      </c>
      <c r="B10">
        <v>2017</v>
      </c>
      <c r="C10">
        <v>130.6</v>
      </c>
    </row>
    <row r="11" spans="1:9" x14ac:dyDescent="0.3">
      <c r="A11" t="s">
        <v>34</v>
      </c>
      <c r="B11">
        <v>2017</v>
      </c>
      <c r="C11">
        <v>130.9</v>
      </c>
    </row>
    <row r="12" spans="1:9" x14ac:dyDescent="0.3">
      <c r="A12" t="s">
        <v>34</v>
      </c>
      <c r="B12">
        <v>2017</v>
      </c>
      <c r="C12">
        <v>131.1</v>
      </c>
    </row>
    <row r="13" spans="1:9" x14ac:dyDescent="0.3">
      <c r="A13" t="s">
        <v>34</v>
      </c>
      <c r="B13">
        <v>2017</v>
      </c>
      <c r="C13">
        <v>131.4</v>
      </c>
    </row>
    <row r="14" spans="1:9" x14ac:dyDescent="0.3">
      <c r="A14" t="s">
        <v>34</v>
      </c>
      <c r="B14">
        <v>2017</v>
      </c>
      <c r="C14">
        <v>132</v>
      </c>
    </row>
    <row r="15" spans="1:9" x14ac:dyDescent="0.3">
      <c r="A15" t="s">
        <v>34</v>
      </c>
      <c r="B15">
        <v>2017</v>
      </c>
      <c r="C15">
        <v>134.19999999999999</v>
      </c>
    </row>
    <row r="16" spans="1:9" x14ac:dyDescent="0.3">
      <c r="A16" t="s">
        <v>34</v>
      </c>
      <c r="B16">
        <v>2017</v>
      </c>
      <c r="C16">
        <v>135.4</v>
      </c>
    </row>
    <row r="17" spans="1:20" x14ac:dyDescent="0.3">
      <c r="A17" t="s">
        <v>34</v>
      </c>
      <c r="B17">
        <v>2017</v>
      </c>
      <c r="C17">
        <v>135.19999999999999</v>
      </c>
    </row>
    <row r="18" spans="1:20" ht="15.6" x14ac:dyDescent="0.3">
      <c r="A18" t="s">
        <v>34</v>
      </c>
      <c r="B18">
        <v>2017</v>
      </c>
      <c r="C18">
        <v>136.1</v>
      </c>
      <c r="F18" s="32" t="s">
        <v>62</v>
      </c>
      <c r="G18" s="29" t="s">
        <v>73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ht="15.6" x14ac:dyDescent="0.3">
      <c r="A19" t="s">
        <v>34</v>
      </c>
      <c r="B19">
        <v>2017</v>
      </c>
      <c r="C19">
        <v>137.6</v>
      </c>
      <c r="F19" s="32"/>
    </row>
    <row r="20" spans="1:20" ht="15.6" customHeight="1" x14ac:dyDescent="0.3">
      <c r="A20" t="s">
        <v>34</v>
      </c>
      <c r="B20">
        <v>2017</v>
      </c>
      <c r="C20">
        <v>137.19999999999999</v>
      </c>
      <c r="F20" s="32" t="s">
        <v>62</v>
      </c>
      <c r="G20" s="29" t="s">
        <v>72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0"/>
    </row>
    <row r="21" spans="1:20" ht="14.4" customHeight="1" x14ac:dyDescent="0.3">
      <c r="A21" t="s">
        <v>34</v>
      </c>
      <c r="B21">
        <v>2018</v>
      </c>
      <c r="C21">
        <v>136.9</v>
      </c>
      <c r="D21">
        <f>AVERAGE(C21:C32)</f>
        <v>138.77500000000001</v>
      </c>
      <c r="F21" s="32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20" ht="14.4" customHeight="1" x14ac:dyDescent="0.3">
      <c r="A22" t="s">
        <v>34</v>
      </c>
      <c r="B22">
        <v>2018</v>
      </c>
      <c r="C22">
        <v>136.4</v>
      </c>
      <c r="F22" s="32" t="s">
        <v>62</v>
      </c>
      <c r="G22" s="29" t="s">
        <v>71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0"/>
    </row>
    <row r="23" spans="1:20" ht="14.4" customHeight="1" x14ac:dyDescent="0.3">
      <c r="A23" t="s">
        <v>34</v>
      </c>
      <c r="B23">
        <v>2018</v>
      </c>
      <c r="C23">
        <v>136.5</v>
      </c>
      <c r="F23" s="32"/>
    </row>
    <row r="24" spans="1:20" ht="14.4" customHeight="1" x14ac:dyDescent="0.3">
      <c r="A24" t="s">
        <v>34</v>
      </c>
      <c r="B24">
        <v>2018</v>
      </c>
      <c r="C24">
        <v>137.1</v>
      </c>
    </row>
    <row r="25" spans="1:20" ht="14.4" customHeight="1" x14ac:dyDescent="0.3">
      <c r="A25" t="s">
        <v>34</v>
      </c>
      <c r="B25">
        <v>2018</v>
      </c>
      <c r="C25">
        <v>137.80000000000001</v>
      </c>
    </row>
    <row r="26" spans="1:20" x14ac:dyDescent="0.3">
      <c r="A26" t="s">
        <v>34</v>
      </c>
      <c r="B26">
        <v>2018</v>
      </c>
      <c r="C26">
        <v>138.5</v>
      </c>
    </row>
    <row r="27" spans="1:20" x14ac:dyDescent="0.3">
      <c r="A27" t="s">
        <v>34</v>
      </c>
      <c r="B27">
        <v>2018</v>
      </c>
      <c r="C27">
        <v>139.80000000000001</v>
      </c>
    </row>
    <row r="28" spans="1:20" x14ac:dyDescent="0.3">
      <c r="A28" t="s">
        <v>34</v>
      </c>
      <c r="B28">
        <v>2018</v>
      </c>
      <c r="C28">
        <v>140.4</v>
      </c>
    </row>
    <row r="29" spans="1:20" x14ac:dyDescent="0.3">
      <c r="A29" t="s">
        <v>34</v>
      </c>
      <c r="B29">
        <v>2018</v>
      </c>
      <c r="C29">
        <v>140.19999999999999</v>
      </c>
    </row>
    <row r="30" spans="1:20" x14ac:dyDescent="0.3">
      <c r="A30" t="s">
        <v>34</v>
      </c>
      <c r="B30">
        <v>2018</v>
      </c>
      <c r="C30">
        <v>140.80000000000001</v>
      </c>
    </row>
    <row r="31" spans="1:20" x14ac:dyDescent="0.3">
      <c r="A31" t="s">
        <v>34</v>
      </c>
      <c r="B31">
        <v>2018</v>
      </c>
      <c r="C31">
        <v>140.80000000000001</v>
      </c>
    </row>
    <row r="32" spans="1:20" x14ac:dyDescent="0.3">
      <c r="A32" t="s">
        <v>34</v>
      </c>
      <c r="B32">
        <v>2018</v>
      </c>
      <c r="C32">
        <v>140.1</v>
      </c>
    </row>
    <row r="33" spans="1:8" x14ac:dyDescent="0.3">
      <c r="A33" t="s">
        <v>34</v>
      </c>
      <c r="B33">
        <v>2019</v>
      </c>
      <c r="C33">
        <v>139.6</v>
      </c>
      <c r="D33">
        <f>AVERAGE(C33:C43)</f>
        <v>144.18181818181819</v>
      </c>
    </row>
    <row r="34" spans="1:8" x14ac:dyDescent="0.3">
      <c r="A34" t="s">
        <v>34</v>
      </c>
      <c r="B34">
        <v>2019</v>
      </c>
      <c r="C34">
        <v>139.9</v>
      </c>
    </row>
    <row r="35" spans="1:8" x14ac:dyDescent="0.3">
      <c r="A35" t="s">
        <v>34</v>
      </c>
      <c r="B35">
        <v>2019</v>
      </c>
      <c r="C35">
        <v>140.4</v>
      </c>
    </row>
    <row r="36" spans="1:8" x14ac:dyDescent="0.3">
      <c r="A36" t="s">
        <v>34</v>
      </c>
      <c r="B36">
        <v>2019</v>
      </c>
      <c r="C36">
        <v>142</v>
      </c>
    </row>
    <row r="37" spans="1:8" x14ac:dyDescent="0.3">
      <c r="A37" t="s">
        <v>34</v>
      </c>
      <c r="B37">
        <v>2019</v>
      </c>
      <c r="C37">
        <v>142.9</v>
      </c>
    </row>
    <row r="38" spans="1:8" x14ac:dyDescent="0.3">
      <c r="A38" t="s">
        <v>34</v>
      </c>
      <c r="B38">
        <v>2019</v>
      </c>
      <c r="C38">
        <v>144.19999999999999</v>
      </c>
    </row>
    <row r="39" spans="1:8" x14ac:dyDescent="0.3">
      <c r="A39" t="s">
        <v>34</v>
      </c>
      <c r="B39">
        <v>2019</v>
      </c>
      <c r="C39">
        <v>145</v>
      </c>
    </row>
    <row r="40" spans="1:8" x14ac:dyDescent="0.3">
      <c r="A40" t="s">
        <v>34</v>
      </c>
      <c r="B40">
        <v>2019</v>
      </c>
      <c r="C40">
        <v>145.80000000000001</v>
      </c>
    </row>
    <row r="41" spans="1:8" x14ac:dyDescent="0.3">
      <c r="A41" t="s">
        <v>34</v>
      </c>
      <c r="B41">
        <v>2019</v>
      </c>
      <c r="C41">
        <v>147.19999999999999</v>
      </c>
    </row>
    <row r="42" spans="1:8" x14ac:dyDescent="0.3">
      <c r="A42" t="s">
        <v>34</v>
      </c>
      <c r="B42">
        <v>2019</v>
      </c>
      <c r="C42">
        <v>148.6</v>
      </c>
    </row>
    <row r="43" spans="1:8" x14ac:dyDescent="0.3">
      <c r="A43" t="s">
        <v>34</v>
      </c>
      <c r="B43">
        <v>2019</v>
      </c>
      <c r="C43">
        <v>150.4</v>
      </c>
    </row>
    <row r="44" spans="1:8" x14ac:dyDescent="0.3">
      <c r="A44" t="s">
        <v>34</v>
      </c>
      <c r="B44">
        <v>2020</v>
      </c>
      <c r="C44">
        <v>150.19999999999999</v>
      </c>
      <c r="D44">
        <f>AVERAGE(C44:C55)</f>
        <v>153.0654442192814</v>
      </c>
    </row>
    <row r="45" spans="1:8" x14ac:dyDescent="0.3">
      <c r="A45" t="s">
        <v>34</v>
      </c>
      <c r="B45">
        <v>2020</v>
      </c>
      <c r="C45">
        <v>149.1</v>
      </c>
    </row>
    <row r="46" spans="1:8" x14ac:dyDescent="0.3">
      <c r="A46" t="s">
        <v>34</v>
      </c>
      <c r="B46">
        <v>2020</v>
      </c>
      <c r="C46">
        <v>148.6</v>
      </c>
    </row>
    <row r="47" spans="1:8" x14ac:dyDescent="0.3">
      <c r="A47" t="s">
        <v>34</v>
      </c>
      <c r="B47">
        <v>2020</v>
      </c>
      <c r="C47" s="2">
        <v>150.85341435185185</v>
      </c>
    </row>
    <row r="48" spans="1:8" x14ac:dyDescent="0.3">
      <c r="A48" t="s">
        <v>34</v>
      </c>
      <c r="B48">
        <v>2020</v>
      </c>
      <c r="C48" s="2">
        <v>152.13191627952463</v>
      </c>
      <c r="G48" s="16" t="s">
        <v>62</v>
      </c>
      <c r="H48" s="17" t="s">
        <v>88</v>
      </c>
    </row>
    <row r="49" spans="1:4" x14ac:dyDescent="0.3">
      <c r="A49" t="s">
        <v>34</v>
      </c>
      <c r="B49">
        <v>2020</v>
      </c>
      <c r="C49">
        <v>151.80000000000001</v>
      </c>
    </row>
    <row r="50" spans="1:4" x14ac:dyDescent="0.3">
      <c r="A50" t="s">
        <v>34</v>
      </c>
      <c r="B50">
        <v>2020</v>
      </c>
      <c r="C50">
        <v>151.80000000000001</v>
      </c>
    </row>
    <row r="51" spans="1:4" x14ac:dyDescent="0.3">
      <c r="A51" t="s">
        <v>34</v>
      </c>
      <c r="B51">
        <v>2020</v>
      </c>
      <c r="C51">
        <v>153.9</v>
      </c>
    </row>
    <row r="52" spans="1:4" x14ac:dyDescent="0.3">
      <c r="A52" t="s">
        <v>34</v>
      </c>
      <c r="B52">
        <v>2020</v>
      </c>
      <c r="C52">
        <v>154.69999999999999</v>
      </c>
    </row>
    <row r="53" spans="1:4" x14ac:dyDescent="0.3">
      <c r="A53" t="s">
        <v>34</v>
      </c>
      <c r="B53">
        <v>2020</v>
      </c>
      <c r="C53">
        <v>156.4</v>
      </c>
    </row>
    <row r="54" spans="1:4" x14ac:dyDescent="0.3">
      <c r="A54" t="s">
        <v>34</v>
      </c>
      <c r="B54">
        <v>2020</v>
      </c>
      <c r="C54">
        <v>158.4</v>
      </c>
    </row>
    <row r="55" spans="1:4" x14ac:dyDescent="0.3">
      <c r="A55" t="s">
        <v>34</v>
      </c>
      <c r="B55">
        <v>2020</v>
      </c>
      <c r="C55">
        <v>158.9</v>
      </c>
    </row>
    <row r="56" spans="1:4" x14ac:dyDescent="0.3">
      <c r="A56" t="s">
        <v>34</v>
      </c>
      <c r="B56">
        <v>2021</v>
      </c>
      <c r="C56">
        <v>157.30000000000001</v>
      </c>
      <c r="D56">
        <f>AVERAGE(C56:C67)</f>
        <v>161.45833333333334</v>
      </c>
    </row>
    <row r="57" spans="1:4" x14ac:dyDescent="0.3">
      <c r="A57" t="s">
        <v>34</v>
      </c>
      <c r="B57">
        <v>2021</v>
      </c>
      <c r="C57">
        <v>156.6</v>
      </c>
    </row>
    <row r="58" spans="1:4" x14ac:dyDescent="0.3">
      <c r="A58" t="s">
        <v>34</v>
      </c>
      <c r="B58">
        <v>2021</v>
      </c>
      <c r="C58">
        <v>156.80000000000001</v>
      </c>
    </row>
    <row r="59" spans="1:4" x14ac:dyDescent="0.3">
      <c r="A59" t="s">
        <v>34</v>
      </c>
      <c r="B59">
        <v>2021</v>
      </c>
      <c r="C59">
        <v>157.80000000000001</v>
      </c>
    </row>
    <row r="60" spans="1:4" x14ac:dyDescent="0.3">
      <c r="A60" t="s">
        <v>34</v>
      </c>
      <c r="B60">
        <v>2021</v>
      </c>
      <c r="C60">
        <v>160.4</v>
      </c>
    </row>
    <row r="61" spans="1:4" x14ac:dyDescent="0.3">
      <c r="A61" t="s">
        <v>34</v>
      </c>
      <c r="B61">
        <v>2021</v>
      </c>
      <c r="C61">
        <v>161.30000000000001</v>
      </c>
    </row>
    <row r="62" spans="1:4" x14ac:dyDescent="0.3">
      <c r="A62" t="s">
        <v>34</v>
      </c>
      <c r="B62">
        <v>2021</v>
      </c>
      <c r="C62">
        <v>162.5</v>
      </c>
    </row>
    <row r="63" spans="1:4" x14ac:dyDescent="0.3">
      <c r="A63" t="s">
        <v>34</v>
      </c>
      <c r="B63">
        <v>2021</v>
      </c>
      <c r="C63">
        <v>163.19999999999999</v>
      </c>
    </row>
    <row r="64" spans="1:4" x14ac:dyDescent="0.3">
      <c r="A64" t="s">
        <v>34</v>
      </c>
      <c r="B64">
        <v>2021</v>
      </c>
      <c r="C64">
        <v>163.19999999999999</v>
      </c>
    </row>
    <row r="65" spans="1:4" x14ac:dyDescent="0.3">
      <c r="A65" t="s">
        <v>34</v>
      </c>
      <c r="B65">
        <v>2021</v>
      </c>
      <c r="C65">
        <v>165.5</v>
      </c>
    </row>
    <row r="66" spans="1:4" x14ac:dyDescent="0.3">
      <c r="A66" t="s">
        <v>34</v>
      </c>
      <c r="B66">
        <v>2021</v>
      </c>
      <c r="C66">
        <v>166.7</v>
      </c>
    </row>
    <row r="67" spans="1:4" x14ac:dyDescent="0.3">
      <c r="A67" t="s">
        <v>34</v>
      </c>
      <c r="B67">
        <v>2021</v>
      </c>
      <c r="C67">
        <v>166.2</v>
      </c>
    </row>
    <row r="68" spans="1:4" x14ac:dyDescent="0.3">
      <c r="A68" t="s">
        <v>34</v>
      </c>
      <c r="B68">
        <v>2022</v>
      </c>
      <c r="C68">
        <v>165.7</v>
      </c>
      <c r="D68">
        <f>AVERAGE(C68:C79)</f>
        <v>172.14999999999998</v>
      </c>
    </row>
    <row r="69" spans="1:4" x14ac:dyDescent="0.3">
      <c r="A69" t="s">
        <v>34</v>
      </c>
      <c r="B69">
        <v>2022</v>
      </c>
      <c r="C69">
        <v>166.1</v>
      </c>
    </row>
    <row r="70" spans="1:4" x14ac:dyDescent="0.3">
      <c r="A70" t="s">
        <v>34</v>
      </c>
      <c r="B70">
        <v>2022</v>
      </c>
      <c r="C70">
        <v>167.7</v>
      </c>
    </row>
    <row r="71" spans="1:4" x14ac:dyDescent="0.3">
      <c r="A71" t="s">
        <v>34</v>
      </c>
      <c r="B71">
        <v>2022</v>
      </c>
      <c r="C71">
        <v>170.1</v>
      </c>
    </row>
    <row r="72" spans="1:4" x14ac:dyDescent="0.3">
      <c r="A72" t="s">
        <v>34</v>
      </c>
      <c r="B72">
        <v>2022</v>
      </c>
      <c r="C72">
        <v>171.7</v>
      </c>
    </row>
    <row r="73" spans="1:4" x14ac:dyDescent="0.3">
      <c r="A73" t="s">
        <v>34</v>
      </c>
      <c r="B73">
        <v>2022</v>
      </c>
      <c r="C73">
        <v>172.6</v>
      </c>
    </row>
    <row r="74" spans="1:4" x14ac:dyDescent="0.3">
      <c r="A74" t="s">
        <v>34</v>
      </c>
      <c r="B74">
        <v>2022</v>
      </c>
      <c r="C74">
        <v>173.4</v>
      </c>
    </row>
    <row r="75" spans="1:4" x14ac:dyDescent="0.3">
      <c r="A75" t="s">
        <v>34</v>
      </c>
      <c r="B75">
        <v>2022</v>
      </c>
      <c r="C75">
        <v>174.3</v>
      </c>
    </row>
    <row r="76" spans="1:4" x14ac:dyDescent="0.3">
      <c r="A76" t="s">
        <v>34</v>
      </c>
      <c r="B76">
        <v>2022</v>
      </c>
      <c r="C76">
        <v>175.3</v>
      </c>
    </row>
    <row r="77" spans="1:4" x14ac:dyDescent="0.3">
      <c r="A77" t="s">
        <v>34</v>
      </c>
      <c r="B77">
        <v>2022</v>
      </c>
      <c r="C77">
        <v>176.7</v>
      </c>
    </row>
    <row r="78" spans="1:4" x14ac:dyDescent="0.3">
      <c r="A78" t="s">
        <v>34</v>
      </c>
      <c r="B78">
        <v>2022</v>
      </c>
      <c r="C78">
        <v>176.5</v>
      </c>
    </row>
    <row r="79" spans="1:4" x14ac:dyDescent="0.3">
      <c r="A79" t="s">
        <v>34</v>
      </c>
      <c r="B79">
        <v>2022</v>
      </c>
      <c r="C79">
        <v>175.7</v>
      </c>
    </row>
    <row r="80" spans="1:4" x14ac:dyDescent="0.3">
      <c r="A80" t="s">
        <v>34</v>
      </c>
      <c r="B80">
        <v>2023</v>
      </c>
      <c r="C80">
        <v>176.5</v>
      </c>
      <c r="D80">
        <f>AVERAGE(C80:C84)</f>
        <v>177.62</v>
      </c>
    </row>
    <row r="81" spans="1:3" x14ac:dyDescent="0.3">
      <c r="A81" t="s">
        <v>34</v>
      </c>
      <c r="B81">
        <v>2023</v>
      </c>
      <c r="C81">
        <v>177.2</v>
      </c>
    </row>
    <row r="82" spans="1:3" x14ac:dyDescent="0.3">
      <c r="A82" t="s">
        <v>34</v>
      </c>
      <c r="B82">
        <v>2023</v>
      </c>
      <c r="C82">
        <v>177.2</v>
      </c>
    </row>
    <row r="83" spans="1:3" x14ac:dyDescent="0.3">
      <c r="A83" t="s">
        <v>34</v>
      </c>
      <c r="B83">
        <v>2023</v>
      </c>
      <c r="C83">
        <v>178.1</v>
      </c>
    </row>
    <row r="84" spans="1:3" x14ac:dyDescent="0.3">
      <c r="A84" t="s">
        <v>34</v>
      </c>
      <c r="B84">
        <v>2023</v>
      </c>
      <c r="C84">
        <v>179.1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E53-5D5E-47DF-AA31-0121EA1C5082}">
  <dimension ref="A1:P93"/>
  <sheetViews>
    <sheetView zoomScaleNormal="100" workbookViewId="0">
      <selection activeCell="F4" sqref="F4"/>
    </sheetView>
  </sheetViews>
  <sheetFormatPr defaultRowHeight="14.4" x14ac:dyDescent="0.3"/>
  <cols>
    <col min="1" max="1" width="11.109375" bestFit="1" customWidth="1"/>
    <col min="2" max="2" width="6.88671875" bestFit="1" customWidth="1"/>
    <col min="3" max="3" width="9.77734375" bestFit="1" customWidth="1"/>
    <col min="4" max="4" width="20.44140625" bestFit="1" customWidth="1"/>
    <col min="5" max="5" width="13.77734375" bestFit="1" customWidth="1"/>
    <col min="6" max="6" width="6" bestFit="1" customWidth="1"/>
    <col min="7" max="7" width="17.33203125" bestFit="1" customWidth="1"/>
    <col min="8" max="8" width="13" bestFit="1" customWidth="1"/>
    <col min="9" max="9" width="7.77734375" bestFit="1" customWidth="1"/>
    <col min="10" max="10" width="12.109375" bestFit="1" customWidth="1"/>
    <col min="11" max="11" width="19.5546875" bestFit="1" customWidth="1"/>
    <col min="12" max="12" width="22.88671875" bestFit="1" customWidth="1"/>
    <col min="13" max="13" width="8.5546875" bestFit="1" customWidth="1"/>
    <col min="14" max="14" width="23.33203125" bestFit="1" customWidth="1"/>
    <col min="15" max="15" width="33" bestFit="1" customWidth="1"/>
    <col min="16" max="16" width="19.21875" bestFit="1" customWidth="1"/>
    <col min="17" max="17" width="9.77734375" bestFit="1" customWidth="1"/>
    <col min="18" max="18" width="5.88671875" bestFit="1" customWidth="1"/>
    <col min="19" max="19" width="11.6640625" bestFit="1" customWidth="1"/>
  </cols>
  <sheetData>
    <row r="1" spans="1:16" x14ac:dyDescent="0.3">
      <c r="B1" s="48" t="s">
        <v>30</v>
      </c>
      <c r="C1" s="48"/>
      <c r="D1" s="48"/>
    </row>
    <row r="2" spans="1:16" x14ac:dyDescent="0.3">
      <c r="A2" s="14" t="s">
        <v>0</v>
      </c>
      <c r="B2" s="14" t="s">
        <v>1</v>
      </c>
      <c r="C2" s="14" t="s">
        <v>2</v>
      </c>
      <c r="D2" s="18" t="s">
        <v>49</v>
      </c>
      <c r="E2" s="14" t="s">
        <v>74</v>
      </c>
      <c r="M2" s="21"/>
    </row>
    <row r="3" spans="1:16" x14ac:dyDescent="0.3">
      <c r="A3" t="s">
        <v>30</v>
      </c>
      <c r="B3">
        <v>2022</v>
      </c>
      <c r="C3" t="s">
        <v>38</v>
      </c>
      <c r="D3" s="6">
        <v>171.2923076923077</v>
      </c>
    </row>
    <row r="4" spans="1:16" x14ac:dyDescent="0.3">
      <c r="A4" t="s">
        <v>30</v>
      </c>
      <c r="B4">
        <v>2022</v>
      </c>
      <c r="C4" t="s">
        <v>39</v>
      </c>
      <c r="D4" s="6">
        <v>172.94615384615386</v>
      </c>
      <c r="E4" s="21">
        <f>(D4-D3)/D3</f>
        <v>9.6551104724268387E-3</v>
      </c>
      <c r="F4" s="21"/>
      <c r="M4" s="21"/>
      <c r="O4" s="16" t="s">
        <v>62</v>
      </c>
      <c r="P4" t="s">
        <v>76</v>
      </c>
    </row>
    <row r="5" spans="1:16" x14ac:dyDescent="0.3">
      <c r="A5" t="s">
        <v>30</v>
      </c>
      <c r="B5">
        <v>2022</v>
      </c>
      <c r="C5" t="s">
        <v>40</v>
      </c>
      <c r="D5" s="6">
        <v>173.26923076923077</v>
      </c>
      <c r="E5" s="21">
        <f t="shared" ref="E5:E15" si="0">(D5-D4)/D4</f>
        <v>1.868078103455876E-3</v>
      </c>
      <c r="F5" s="21"/>
      <c r="L5" s="16" t="s">
        <v>62</v>
      </c>
      <c r="M5" s="45" t="s">
        <v>130</v>
      </c>
      <c r="O5" s="16" t="s">
        <v>62</v>
      </c>
      <c r="P5" t="s">
        <v>75</v>
      </c>
    </row>
    <row r="6" spans="1:16" x14ac:dyDescent="0.3">
      <c r="A6" t="s">
        <v>30</v>
      </c>
      <c r="B6">
        <v>2022</v>
      </c>
      <c r="C6" t="s">
        <v>41</v>
      </c>
      <c r="D6" s="6">
        <v>173.5230769230769</v>
      </c>
      <c r="E6" s="21">
        <f t="shared" si="0"/>
        <v>1.465038845726811E-3</v>
      </c>
      <c r="F6" s="21"/>
      <c r="L6" s="16" t="s">
        <v>62</v>
      </c>
      <c r="M6" s="45" t="s">
        <v>131</v>
      </c>
    </row>
    <row r="7" spans="1:16" x14ac:dyDescent="0.3">
      <c r="A7" t="s">
        <v>30</v>
      </c>
      <c r="B7">
        <v>2022</v>
      </c>
      <c r="C7" t="s">
        <v>42</v>
      </c>
      <c r="D7" s="6">
        <v>174.44615384615386</v>
      </c>
      <c r="E7" s="21">
        <f t="shared" si="0"/>
        <v>5.3196205337354878E-3</v>
      </c>
      <c r="F7" s="21"/>
      <c r="M7" s="21"/>
    </row>
    <row r="8" spans="1:16" x14ac:dyDescent="0.3">
      <c r="A8" t="s">
        <v>30</v>
      </c>
      <c r="B8">
        <v>2022</v>
      </c>
      <c r="C8" t="s">
        <v>43</v>
      </c>
      <c r="D8" s="6">
        <v>175.73076923076923</v>
      </c>
      <c r="E8" s="21">
        <f t="shared" si="0"/>
        <v>7.3639650762852681E-3</v>
      </c>
      <c r="F8" s="21"/>
      <c r="M8" s="21"/>
    </row>
    <row r="9" spans="1:16" x14ac:dyDescent="0.3">
      <c r="A9" t="s">
        <v>30</v>
      </c>
      <c r="B9">
        <v>2022</v>
      </c>
      <c r="C9" t="s">
        <v>45</v>
      </c>
      <c r="D9" s="6">
        <v>175.97692307692307</v>
      </c>
      <c r="E9" s="21">
        <f t="shared" si="0"/>
        <v>1.4007441453272001E-3</v>
      </c>
      <c r="F9" s="21"/>
      <c r="M9" s="21"/>
    </row>
    <row r="10" spans="1:16" x14ac:dyDescent="0.3">
      <c r="A10" t="s">
        <v>30</v>
      </c>
      <c r="B10">
        <v>2022</v>
      </c>
      <c r="C10" t="s">
        <v>46</v>
      </c>
      <c r="D10" s="6">
        <v>175.16153846153844</v>
      </c>
      <c r="E10" s="21">
        <f t="shared" si="0"/>
        <v>-4.6334746688814939E-3</v>
      </c>
      <c r="F10" s="21"/>
      <c r="M10" s="21"/>
    </row>
    <row r="11" spans="1:16" x14ac:dyDescent="0.3">
      <c r="A11" t="s">
        <v>30</v>
      </c>
      <c r="B11">
        <v>2023</v>
      </c>
      <c r="C11" t="s">
        <v>31</v>
      </c>
      <c r="D11" s="6">
        <v>175.63076923076926</v>
      </c>
      <c r="E11" s="21">
        <f t="shared" si="0"/>
        <v>2.6788459004877469E-3</v>
      </c>
      <c r="F11" s="21"/>
      <c r="M11" s="21"/>
    </row>
    <row r="12" spans="1:16" x14ac:dyDescent="0.3">
      <c r="A12" t="s">
        <v>30</v>
      </c>
      <c r="B12">
        <v>2023</v>
      </c>
      <c r="C12" t="s">
        <v>35</v>
      </c>
      <c r="D12" s="6">
        <v>174.28461538461536</v>
      </c>
      <c r="E12" s="21">
        <f t="shared" si="0"/>
        <v>-7.6646811492644754E-3</v>
      </c>
      <c r="F12" s="21"/>
      <c r="M12" s="21"/>
    </row>
    <row r="13" spans="1:16" x14ac:dyDescent="0.3">
      <c r="A13" t="s">
        <v>30</v>
      </c>
      <c r="B13">
        <v>2023</v>
      </c>
      <c r="C13" t="s">
        <v>36</v>
      </c>
      <c r="D13" s="6">
        <v>174.2923076923077</v>
      </c>
      <c r="E13" s="21">
        <f t="shared" si="0"/>
        <v>4.4136469965305305E-5</v>
      </c>
      <c r="F13" s="21"/>
      <c r="M13" s="21"/>
    </row>
    <row r="14" spans="1:16" x14ac:dyDescent="0.3">
      <c r="A14" t="s">
        <v>30</v>
      </c>
      <c r="B14">
        <v>2023</v>
      </c>
      <c r="C14" t="s">
        <v>37</v>
      </c>
      <c r="D14" s="6">
        <v>174.93846153846152</v>
      </c>
      <c r="E14" s="21">
        <f t="shared" si="0"/>
        <v>3.7072998499424895E-3</v>
      </c>
      <c r="F14" s="21"/>
      <c r="M14" s="21"/>
    </row>
    <row r="15" spans="1:16" x14ac:dyDescent="0.3">
      <c r="A15" t="s">
        <v>30</v>
      </c>
      <c r="B15">
        <v>2023</v>
      </c>
      <c r="C15" t="s">
        <v>38</v>
      </c>
      <c r="D15" s="6">
        <v>176.20769230769235</v>
      </c>
      <c r="E15" s="21">
        <f t="shared" si="0"/>
        <v>7.2552985665292396E-3</v>
      </c>
      <c r="F15" s="21"/>
      <c r="M15" s="21"/>
    </row>
    <row r="17" spans="1:16" x14ac:dyDescent="0.3">
      <c r="B17" s="48" t="s">
        <v>34</v>
      </c>
      <c r="C17" s="48"/>
      <c r="D17" s="48"/>
    </row>
    <row r="18" spans="1:16" x14ac:dyDescent="0.3">
      <c r="A18" s="33" t="s">
        <v>0</v>
      </c>
      <c r="B18" s="33" t="s">
        <v>1</v>
      </c>
      <c r="C18" s="33" t="s">
        <v>2</v>
      </c>
      <c r="D18" s="34" t="s">
        <v>49</v>
      </c>
      <c r="E18" s="33" t="s">
        <v>74</v>
      </c>
    </row>
    <row r="19" spans="1:16" x14ac:dyDescent="0.3">
      <c r="A19" t="s">
        <v>34</v>
      </c>
      <c r="B19">
        <v>2022</v>
      </c>
      <c r="C19" t="s">
        <v>38</v>
      </c>
      <c r="D19" s="6">
        <v>172.22307692307697</v>
      </c>
    </row>
    <row r="20" spans="1:16" x14ac:dyDescent="0.3">
      <c r="A20" t="s">
        <v>34</v>
      </c>
      <c r="B20">
        <v>2022</v>
      </c>
      <c r="C20" t="s">
        <v>39</v>
      </c>
      <c r="D20" s="6">
        <v>173.99230769230769</v>
      </c>
      <c r="E20" s="21">
        <f>(D20-D19)/D19</f>
        <v>1.0272901871454425E-2</v>
      </c>
    </row>
    <row r="21" spans="1:16" x14ac:dyDescent="0.3">
      <c r="A21" t="s">
        <v>34</v>
      </c>
      <c r="B21">
        <v>2022</v>
      </c>
      <c r="C21" t="s">
        <v>40</v>
      </c>
      <c r="D21" s="6">
        <v>174.33076923076925</v>
      </c>
      <c r="E21" s="21">
        <f t="shared" ref="E21:E31" si="1">(D21-D20)/D20</f>
        <v>1.9452672531943328E-3</v>
      </c>
    </row>
    <row r="22" spans="1:16" x14ac:dyDescent="0.3">
      <c r="A22" t="s">
        <v>34</v>
      </c>
      <c r="B22">
        <v>2022</v>
      </c>
      <c r="C22" t="s">
        <v>41</v>
      </c>
      <c r="D22" s="6">
        <v>174.55384615384617</v>
      </c>
      <c r="E22" s="21">
        <f t="shared" si="1"/>
        <v>1.2796187618585007E-3</v>
      </c>
      <c r="L22" s="16" t="s">
        <v>62</v>
      </c>
      <c r="M22" s="45" t="s">
        <v>130</v>
      </c>
      <c r="O22" s="16" t="s">
        <v>62</v>
      </c>
      <c r="P22" t="s">
        <v>76</v>
      </c>
    </row>
    <row r="23" spans="1:16" x14ac:dyDescent="0.3">
      <c r="A23" t="s">
        <v>34</v>
      </c>
      <c r="B23">
        <v>2022</v>
      </c>
      <c r="C23" t="s">
        <v>42</v>
      </c>
      <c r="D23" s="6">
        <v>175.45384615384617</v>
      </c>
      <c r="E23" s="21">
        <f t="shared" si="1"/>
        <v>5.1560021152829514E-3</v>
      </c>
      <c r="L23" s="16" t="s">
        <v>62</v>
      </c>
      <c r="M23" s="45" t="s">
        <v>131</v>
      </c>
      <c r="O23" s="16" t="s">
        <v>62</v>
      </c>
      <c r="P23" t="s">
        <v>75</v>
      </c>
    </row>
    <row r="24" spans="1:16" x14ac:dyDescent="0.3">
      <c r="A24" t="s">
        <v>34</v>
      </c>
      <c r="B24">
        <v>2022</v>
      </c>
      <c r="C24" t="s">
        <v>43</v>
      </c>
      <c r="D24" s="6">
        <v>176.71538461538464</v>
      </c>
      <c r="E24" s="21">
        <f t="shared" si="1"/>
        <v>7.1901442413082701E-3</v>
      </c>
    </row>
    <row r="25" spans="1:16" x14ac:dyDescent="0.3">
      <c r="A25" t="s">
        <v>34</v>
      </c>
      <c r="B25">
        <v>2022</v>
      </c>
      <c r="C25" t="s">
        <v>45</v>
      </c>
      <c r="D25" s="6">
        <v>176.67692307692309</v>
      </c>
      <c r="E25" s="21">
        <f t="shared" si="1"/>
        <v>-2.176468027685168E-4</v>
      </c>
    </row>
    <row r="26" spans="1:16" x14ac:dyDescent="0.3">
      <c r="A26" t="s">
        <v>34</v>
      </c>
      <c r="B26">
        <v>2022</v>
      </c>
      <c r="C26" t="s">
        <v>46</v>
      </c>
      <c r="D26" s="6">
        <v>175.64615384615385</v>
      </c>
      <c r="E26" s="21">
        <f t="shared" si="1"/>
        <v>-5.8342041100662182E-3</v>
      </c>
    </row>
    <row r="27" spans="1:16" x14ac:dyDescent="0.3">
      <c r="A27" t="s">
        <v>34</v>
      </c>
      <c r="B27">
        <v>2023</v>
      </c>
      <c r="C27" t="s">
        <v>31</v>
      </c>
      <c r="D27" s="6">
        <v>176.36153846153846</v>
      </c>
      <c r="E27" s="21">
        <f t="shared" si="1"/>
        <v>4.0728737847069707E-3</v>
      </c>
    </row>
    <row r="28" spans="1:16" x14ac:dyDescent="0.3">
      <c r="A28" t="s">
        <v>34</v>
      </c>
      <c r="B28">
        <v>2023</v>
      </c>
      <c r="C28" t="s">
        <v>35</v>
      </c>
      <c r="D28" s="6">
        <v>175.3153846153846</v>
      </c>
      <c r="E28" s="21">
        <f t="shared" si="1"/>
        <v>-5.9318707201117182E-3</v>
      </c>
    </row>
    <row r="29" spans="1:16" x14ac:dyDescent="0.3">
      <c r="A29" t="s">
        <v>34</v>
      </c>
      <c r="B29">
        <v>2023</v>
      </c>
      <c r="C29" t="s">
        <v>36</v>
      </c>
      <c r="D29" s="6">
        <v>175.32307692307691</v>
      </c>
      <c r="E29" s="21">
        <f t="shared" si="1"/>
        <v>4.3876968978992914E-5</v>
      </c>
    </row>
    <row r="30" spans="1:16" x14ac:dyDescent="0.3">
      <c r="A30" t="s">
        <v>34</v>
      </c>
      <c r="B30">
        <v>2023</v>
      </c>
      <c r="C30" t="s">
        <v>37</v>
      </c>
      <c r="D30" s="6">
        <v>176.12307692307695</v>
      </c>
      <c r="E30" s="21">
        <f t="shared" si="1"/>
        <v>4.5630045630047902E-3</v>
      </c>
    </row>
    <row r="31" spans="1:16" x14ac:dyDescent="0.3">
      <c r="A31" t="s">
        <v>34</v>
      </c>
      <c r="B31">
        <v>2023</v>
      </c>
      <c r="C31" t="s">
        <v>38</v>
      </c>
      <c r="D31" s="6">
        <v>177.45384615384617</v>
      </c>
      <c r="E31" s="21">
        <f t="shared" si="1"/>
        <v>7.555904961565281E-3</v>
      </c>
    </row>
    <row r="34" spans="1:16" x14ac:dyDescent="0.3">
      <c r="B34" s="48" t="s">
        <v>33</v>
      </c>
      <c r="C34" s="48"/>
      <c r="D34" s="48"/>
    </row>
    <row r="35" spans="1:16" x14ac:dyDescent="0.3">
      <c r="A35" s="35" t="s">
        <v>0</v>
      </c>
      <c r="B35" s="35" t="s">
        <v>1</v>
      </c>
      <c r="C35" s="35" t="s">
        <v>2</v>
      </c>
      <c r="D35" s="36" t="s">
        <v>49</v>
      </c>
      <c r="E35" s="35" t="s">
        <v>74</v>
      </c>
    </row>
    <row r="36" spans="1:16" x14ac:dyDescent="0.3">
      <c r="A36" t="s">
        <v>33</v>
      </c>
      <c r="B36">
        <v>2022</v>
      </c>
      <c r="C36" t="s">
        <v>38</v>
      </c>
      <c r="D36" s="6">
        <v>174.01538461538465</v>
      </c>
    </row>
    <row r="37" spans="1:16" x14ac:dyDescent="0.3">
      <c r="A37" t="s">
        <v>33</v>
      </c>
      <c r="B37">
        <v>2022</v>
      </c>
      <c r="C37" t="s">
        <v>39</v>
      </c>
      <c r="D37" s="6">
        <v>175.96153846153845</v>
      </c>
      <c r="E37" s="21">
        <f>(D37-D36)/D36</f>
        <v>1.1183803377243156E-2</v>
      </c>
    </row>
    <row r="38" spans="1:16" x14ac:dyDescent="0.3">
      <c r="A38" t="s">
        <v>33</v>
      </c>
      <c r="B38">
        <v>2022</v>
      </c>
      <c r="C38" t="s">
        <v>40</v>
      </c>
      <c r="D38" s="6">
        <v>176.27692307692308</v>
      </c>
      <c r="E38" s="21">
        <f t="shared" ref="E38:E48" si="2">(D38-D37)/D37</f>
        <v>1.7923497267760408E-3</v>
      </c>
      <c r="L38" s="16" t="s">
        <v>62</v>
      </c>
      <c r="M38" s="45" t="s">
        <v>130</v>
      </c>
      <c r="O38" s="16" t="s">
        <v>62</v>
      </c>
      <c r="P38" t="s">
        <v>76</v>
      </c>
    </row>
    <row r="39" spans="1:16" x14ac:dyDescent="0.3">
      <c r="A39" t="s">
        <v>33</v>
      </c>
      <c r="B39">
        <v>2022</v>
      </c>
      <c r="C39" t="s">
        <v>41</v>
      </c>
      <c r="D39" s="6">
        <v>176.43846153846152</v>
      </c>
      <c r="E39" s="21">
        <f t="shared" si="2"/>
        <v>9.1639029499028556E-4</v>
      </c>
      <c r="L39" s="16" t="s">
        <v>62</v>
      </c>
      <c r="M39" s="45" t="s">
        <v>132</v>
      </c>
      <c r="O39" s="16" t="s">
        <v>62</v>
      </c>
      <c r="P39" t="s">
        <v>77</v>
      </c>
    </row>
    <row r="40" spans="1:16" x14ac:dyDescent="0.3">
      <c r="A40" t="s">
        <v>33</v>
      </c>
      <c r="B40">
        <v>2022</v>
      </c>
      <c r="C40" t="s">
        <v>42</v>
      </c>
      <c r="D40" s="6">
        <v>177.41538461538462</v>
      </c>
      <c r="E40" s="21">
        <f t="shared" si="2"/>
        <v>5.5369054366309033E-3</v>
      </c>
    </row>
    <row r="41" spans="1:16" x14ac:dyDescent="0.3">
      <c r="A41" t="s">
        <v>33</v>
      </c>
      <c r="B41">
        <v>2022</v>
      </c>
      <c r="C41" t="s">
        <v>43</v>
      </c>
      <c r="D41" s="6">
        <v>178.63846153846154</v>
      </c>
      <c r="E41" s="21">
        <f t="shared" si="2"/>
        <v>6.8938605619146371E-3</v>
      </c>
    </row>
    <row r="42" spans="1:16" x14ac:dyDescent="0.3">
      <c r="A42" t="s">
        <v>33</v>
      </c>
      <c r="B42">
        <v>2022</v>
      </c>
      <c r="C42" t="s">
        <v>45</v>
      </c>
      <c r="D42" s="6">
        <v>178.03076923076924</v>
      </c>
      <c r="E42" s="21">
        <f t="shared" si="2"/>
        <v>-3.4017999397149157E-3</v>
      </c>
    </row>
    <row r="43" spans="1:16" x14ac:dyDescent="0.3">
      <c r="A43" t="s">
        <v>33</v>
      </c>
      <c r="B43">
        <v>2022</v>
      </c>
      <c r="C43" t="s">
        <v>46</v>
      </c>
      <c r="D43" s="6">
        <v>176.59999999999997</v>
      </c>
      <c r="E43" s="21">
        <f t="shared" si="2"/>
        <v>-8.0366401659179628E-3</v>
      </c>
    </row>
    <row r="44" spans="1:16" x14ac:dyDescent="0.3">
      <c r="A44" t="s">
        <v>33</v>
      </c>
      <c r="B44">
        <v>2023</v>
      </c>
      <c r="C44" t="s">
        <v>31</v>
      </c>
      <c r="D44" s="6">
        <v>177.70769230769233</v>
      </c>
      <c r="E44" s="21">
        <f t="shared" si="2"/>
        <v>6.2723233731164256E-3</v>
      </c>
    </row>
    <row r="45" spans="1:16" x14ac:dyDescent="0.3">
      <c r="A45" t="s">
        <v>33</v>
      </c>
      <c r="B45">
        <v>2023</v>
      </c>
      <c r="C45" t="s">
        <v>35</v>
      </c>
      <c r="D45" s="6">
        <v>177.16923076923075</v>
      </c>
      <c r="E45" s="21">
        <f t="shared" si="2"/>
        <v>-3.0300406891180342E-3</v>
      </c>
    </row>
    <row r="46" spans="1:16" x14ac:dyDescent="0.3">
      <c r="A46" t="s">
        <v>33</v>
      </c>
      <c r="B46">
        <v>2023</v>
      </c>
      <c r="C46" t="s">
        <v>36</v>
      </c>
      <c r="D46" s="6">
        <v>177.1846153846154</v>
      </c>
      <c r="E46" s="21">
        <f t="shared" si="2"/>
        <v>8.6835706842833875E-5</v>
      </c>
    </row>
    <row r="47" spans="1:16" x14ac:dyDescent="0.3">
      <c r="A47" t="s">
        <v>33</v>
      </c>
      <c r="B47">
        <v>2023</v>
      </c>
      <c r="C47" t="s">
        <v>37</v>
      </c>
      <c r="D47" s="6">
        <v>178.28461538461539</v>
      </c>
      <c r="E47" s="21">
        <f t="shared" si="2"/>
        <v>6.2082139446035965E-3</v>
      </c>
    </row>
    <row r="48" spans="1:16" x14ac:dyDescent="0.3">
      <c r="A48" t="s">
        <v>33</v>
      </c>
      <c r="B48">
        <v>2023</v>
      </c>
      <c r="C48" t="s">
        <v>38</v>
      </c>
      <c r="D48" s="6">
        <v>179.62307692307692</v>
      </c>
      <c r="E48" s="21">
        <f t="shared" si="2"/>
        <v>7.5074427233895206E-3</v>
      </c>
    </row>
    <row r="54" spans="1:16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14</v>
      </c>
      <c r="P54" t="s">
        <v>15</v>
      </c>
    </row>
    <row r="55" spans="1:16" x14ac:dyDescent="0.3">
      <c r="A55" t="s">
        <v>30</v>
      </c>
      <c r="B55">
        <v>2022</v>
      </c>
      <c r="C55" t="s">
        <v>38</v>
      </c>
      <c r="D55">
        <v>152.9</v>
      </c>
      <c r="E55">
        <v>214.7</v>
      </c>
      <c r="F55">
        <v>161.4</v>
      </c>
      <c r="G55">
        <v>164.6</v>
      </c>
      <c r="H55">
        <v>209.9</v>
      </c>
      <c r="I55">
        <v>168</v>
      </c>
      <c r="J55">
        <v>160.4</v>
      </c>
      <c r="K55">
        <v>165</v>
      </c>
      <c r="L55">
        <v>118.9</v>
      </c>
      <c r="M55">
        <v>186.6</v>
      </c>
      <c r="N55">
        <v>173.2</v>
      </c>
      <c r="O55">
        <v>180.4</v>
      </c>
      <c r="P55">
        <v>170.8</v>
      </c>
    </row>
    <row r="56" spans="1:16" x14ac:dyDescent="0.3">
      <c r="A56" t="s">
        <v>33</v>
      </c>
      <c r="B56">
        <v>2022</v>
      </c>
      <c r="C56" t="s">
        <v>38</v>
      </c>
      <c r="D56">
        <v>156.69999999999999</v>
      </c>
      <c r="E56">
        <v>221.2</v>
      </c>
      <c r="F56">
        <v>164.1</v>
      </c>
      <c r="G56">
        <v>165.4</v>
      </c>
      <c r="H56">
        <v>189.5</v>
      </c>
      <c r="I56">
        <v>174.5</v>
      </c>
      <c r="J56">
        <v>203.2</v>
      </c>
      <c r="K56">
        <v>164.1</v>
      </c>
      <c r="L56">
        <v>121.2</v>
      </c>
      <c r="M56">
        <v>181.4</v>
      </c>
      <c r="N56">
        <v>158.5</v>
      </c>
      <c r="O56">
        <v>184.9</v>
      </c>
      <c r="P56">
        <v>177.5</v>
      </c>
    </row>
    <row r="57" spans="1:16" x14ac:dyDescent="0.3">
      <c r="A57" t="s">
        <v>34</v>
      </c>
      <c r="B57">
        <v>2022</v>
      </c>
      <c r="C57" t="s">
        <v>38</v>
      </c>
      <c r="D57">
        <v>154.1</v>
      </c>
      <c r="E57">
        <v>217</v>
      </c>
      <c r="F57">
        <v>162.4</v>
      </c>
      <c r="G57">
        <v>164.9</v>
      </c>
      <c r="H57">
        <v>202.4</v>
      </c>
      <c r="I57">
        <v>171</v>
      </c>
      <c r="J57">
        <v>174.9</v>
      </c>
      <c r="K57">
        <v>164.7</v>
      </c>
      <c r="L57">
        <v>119.7</v>
      </c>
      <c r="M57">
        <v>184.9</v>
      </c>
      <c r="N57">
        <v>167.1</v>
      </c>
      <c r="O57">
        <v>182.5</v>
      </c>
      <c r="P57">
        <v>173.3</v>
      </c>
    </row>
    <row r="58" spans="1:16" x14ac:dyDescent="0.3">
      <c r="A58" t="s">
        <v>30</v>
      </c>
      <c r="B58">
        <v>2022</v>
      </c>
      <c r="C58" t="s">
        <v>39</v>
      </c>
      <c r="D58">
        <v>153.80000000000001</v>
      </c>
      <c r="E58">
        <v>217.2</v>
      </c>
      <c r="F58">
        <v>169.6</v>
      </c>
      <c r="G58">
        <v>165.4</v>
      </c>
      <c r="H58">
        <v>208.1</v>
      </c>
      <c r="I58">
        <v>165.8</v>
      </c>
      <c r="J58">
        <v>167.3</v>
      </c>
      <c r="K58">
        <v>164.6</v>
      </c>
      <c r="L58">
        <v>119.1</v>
      </c>
      <c r="M58">
        <v>188.9</v>
      </c>
      <c r="N58">
        <v>174.2</v>
      </c>
      <c r="O58">
        <v>181.9</v>
      </c>
      <c r="P58">
        <v>172.4</v>
      </c>
    </row>
    <row r="59" spans="1:16" x14ac:dyDescent="0.3">
      <c r="A59" t="s">
        <v>33</v>
      </c>
      <c r="B59">
        <v>2022</v>
      </c>
      <c r="C59" t="s">
        <v>39</v>
      </c>
      <c r="D59">
        <v>157.5</v>
      </c>
      <c r="E59">
        <v>223.4</v>
      </c>
      <c r="F59">
        <v>172.8</v>
      </c>
      <c r="G59">
        <v>166.4</v>
      </c>
      <c r="H59">
        <v>188.6</v>
      </c>
      <c r="I59">
        <v>174.1</v>
      </c>
      <c r="J59">
        <v>211.5</v>
      </c>
      <c r="K59">
        <v>163.6</v>
      </c>
      <c r="L59">
        <v>121.4</v>
      </c>
      <c r="M59">
        <v>183.5</v>
      </c>
      <c r="N59">
        <v>159.1</v>
      </c>
      <c r="O59">
        <v>186.3</v>
      </c>
      <c r="P59">
        <v>179.3</v>
      </c>
    </row>
    <row r="60" spans="1:16" x14ac:dyDescent="0.3">
      <c r="A60" t="s">
        <v>34</v>
      </c>
      <c r="B60">
        <v>2022</v>
      </c>
      <c r="C60" t="s">
        <v>39</v>
      </c>
      <c r="D60">
        <v>155</v>
      </c>
      <c r="E60">
        <v>219.4</v>
      </c>
      <c r="F60">
        <v>170.8</v>
      </c>
      <c r="G60">
        <v>165.8</v>
      </c>
      <c r="H60">
        <v>200.9</v>
      </c>
      <c r="I60">
        <v>169.7</v>
      </c>
      <c r="J60">
        <v>182.3</v>
      </c>
      <c r="K60">
        <v>164.3</v>
      </c>
      <c r="L60">
        <v>119.9</v>
      </c>
      <c r="M60">
        <v>187.1</v>
      </c>
      <c r="N60">
        <v>167.9</v>
      </c>
      <c r="O60">
        <v>183.9</v>
      </c>
      <c r="P60">
        <v>174.9</v>
      </c>
    </row>
    <row r="61" spans="1:16" x14ac:dyDescent="0.3">
      <c r="A61" t="s">
        <v>30</v>
      </c>
      <c r="B61">
        <v>2022</v>
      </c>
      <c r="C61" t="s">
        <v>40</v>
      </c>
      <c r="D61">
        <v>155.19999999999999</v>
      </c>
      <c r="E61">
        <v>210.8</v>
      </c>
      <c r="F61">
        <v>174.3</v>
      </c>
      <c r="G61">
        <v>166.3</v>
      </c>
      <c r="H61">
        <v>202.2</v>
      </c>
      <c r="I61">
        <v>169.6</v>
      </c>
      <c r="J61">
        <v>168.6</v>
      </c>
      <c r="K61">
        <v>164.4</v>
      </c>
      <c r="L61">
        <v>119.2</v>
      </c>
      <c r="M61">
        <v>191.8</v>
      </c>
      <c r="N61">
        <v>174.5</v>
      </c>
      <c r="O61">
        <v>183.1</v>
      </c>
      <c r="P61">
        <v>172.5</v>
      </c>
    </row>
    <row r="62" spans="1:16" x14ac:dyDescent="0.3">
      <c r="A62" t="s">
        <v>33</v>
      </c>
      <c r="B62">
        <v>2022</v>
      </c>
      <c r="C62" t="s">
        <v>40</v>
      </c>
      <c r="D62">
        <v>159.30000000000001</v>
      </c>
      <c r="E62">
        <v>217.1</v>
      </c>
      <c r="F62">
        <v>176.6</v>
      </c>
      <c r="G62">
        <v>167.1</v>
      </c>
      <c r="H62">
        <v>184.8</v>
      </c>
      <c r="I62">
        <v>179.5</v>
      </c>
      <c r="J62">
        <v>208.5</v>
      </c>
      <c r="K62">
        <v>164</v>
      </c>
      <c r="L62">
        <v>121.5</v>
      </c>
      <c r="M62">
        <v>186.3</v>
      </c>
      <c r="N62">
        <v>159.80000000000001</v>
      </c>
      <c r="O62">
        <v>187.7</v>
      </c>
      <c r="P62">
        <v>179.4</v>
      </c>
    </row>
    <row r="63" spans="1:16" x14ac:dyDescent="0.3">
      <c r="A63" t="s">
        <v>34</v>
      </c>
      <c r="B63">
        <v>2022</v>
      </c>
      <c r="C63" t="s">
        <v>40</v>
      </c>
      <c r="D63">
        <v>156.5</v>
      </c>
      <c r="E63">
        <v>213</v>
      </c>
      <c r="F63">
        <v>175.2</v>
      </c>
      <c r="G63">
        <v>166.6</v>
      </c>
      <c r="H63">
        <v>195.8</v>
      </c>
      <c r="I63">
        <v>174.2</v>
      </c>
      <c r="J63">
        <v>182.1</v>
      </c>
      <c r="K63">
        <v>164.3</v>
      </c>
      <c r="L63">
        <v>120</v>
      </c>
      <c r="M63">
        <v>190</v>
      </c>
      <c r="N63">
        <v>168.4</v>
      </c>
      <c r="O63">
        <v>185.2</v>
      </c>
      <c r="P63">
        <v>175</v>
      </c>
    </row>
    <row r="64" spans="1:16" x14ac:dyDescent="0.3">
      <c r="A64" t="s">
        <v>30</v>
      </c>
      <c r="B64">
        <v>2022</v>
      </c>
      <c r="C64" t="s">
        <v>41</v>
      </c>
      <c r="D64">
        <v>159.5</v>
      </c>
      <c r="E64">
        <v>204.1</v>
      </c>
      <c r="F64">
        <v>168.3</v>
      </c>
      <c r="G64">
        <v>167.9</v>
      </c>
      <c r="H64">
        <v>198.1</v>
      </c>
      <c r="I64">
        <v>169.2</v>
      </c>
      <c r="J64">
        <v>173.1</v>
      </c>
      <c r="K64">
        <v>167.1</v>
      </c>
      <c r="L64">
        <v>120.2</v>
      </c>
      <c r="M64">
        <v>195.6</v>
      </c>
      <c r="N64">
        <v>174.8</v>
      </c>
      <c r="O64">
        <v>184</v>
      </c>
      <c r="P64">
        <v>173.9</v>
      </c>
    </row>
    <row r="65" spans="1:16" x14ac:dyDescent="0.3">
      <c r="A65" t="s">
        <v>33</v>
      </c>
      <c r="B65">
        <v>2022</v>
      </c>
      <c r="C65" t="s">
        <v>41</v>
      </c>
      <c r="D65">
        <v>162.1</v>
      </c>
      <c r="E65">
        <v>210.9</v>
      </c>
      <c r="F65">
        <v>170.6</v>
      </c>
      <c r="G65">
        <v>168.4</v>
      </c>
      <c r="H65">
        <v>182.5</v>
      </c>
      <c r="I65">
        <v>177.1</v>
      </c>
      <c r="J65">
        <v>213.1</v>
      </c>
      <c r="K65">
        <v>167.3</v>
      </c>
      <c r="L65">
        <v>122.2</v>
      </c>
      <c r="M65">
        <v>189.7</v>
      </c>
      <c r="N65">
        <v>160.5</v>
      </c>
      <c r="O65">
        <v>188.9</v>
      </c>
      <c r="P65">
        <v>180.4</v>
      </c>
    </row>
    <row r="66" spans="1:16" x14ac:dyDescent="0.3">
      <c r="A66" t="s">
        <v>34</v>
      </c>
      <c r="B66">
        <v>2022</v>
      </c>
      <c r="C66" t="s">
        <v>41</v>
      </c>
      <c r="D66">
        <v>160.30000000000001</v>
      </c>
      <c r="E66">
        <v>206.5</v>
      </c>
      <c r="F66">
        <v>169.2</v>
      </c>
      <c r="G66">
        <v>168.1</v>
      </c>
      <c r="H66">
        <v>192.4</v>
      </c>
      <c r="I66">
        <v>172.9</v>
      </c>
      <c r="J66">
        <v>186.7</v>
      </c>
      <c r="K66">
        <v>167.2</v>
      </c>
      <c r="L66">
        <v>120.9</v>
      </c>
      <c r="M66">
        <v>193.6</v>
      </c>
      <c r="N66">
        <v>168.8</v>
      </c>
      <c r="O66">
        <v>186.3</v>
      </c>
      <c r="P66">
        <v>176.3</v>
      </c>
    </row>
    <row r="67" spans="1:16" x14ac:dyDescent="0.3">
      <c r="A67" t="s">
        <v>30</v>
      </c>
      <c r="B67">
        <v>2022</v>
      </c>
      <c r="C67" t="s">
        <v>42</v>
      </c>
      <c r="D67">
        <v>162.9</v>
      </c>
      <c r="E67">
        <v>206.7</v>
      </c>
      <c r="F67">
        <v>169</v>
      </c>
      <c r="G67">
        <v>169.5</v>
      </c>
      <c r="H67">
        <v>194.1</v>
      </c>
      <c r="I67">
        <v>164.1</v>
      </c>
      <c r="J67">
        <v>176.9</v>
      </c>
      <c r="K67">
        <v>169</v>
      </c>
      <c r="L67">
        <v>120.8</v>
      </c>
      <c r="M67">
        <v>199.1</v>
      </c>
      <c r="N67">
        <v>175.4</v>
      </c>
      <c r="O67">
        <v>184.8</v>
      </c>
      <c r="P67">
        <v>175.5</v>
      </c>
    </row>
    <row r="68" spans="1:16" x14ac:dyDescent="0.3">
      <c r="A68" t="s">
        <v>33</v>
      </c>
      <c r="B68">
        <v>2022</v>
      </c>
      <c r="C68" t="s">
        <v>42</v>
      </c>
      <c r="D68">
        <v>164.9</v>
      </c>
      <c r="E68">
        <v>213.7</v>
      </c>
      <c r="F68">
        <v>170.9</v>
      </c>
      <c r="G68">
        <v>170.1</v>
      </c>
      <c r="H68">
        <v>179.3</v>
      </c>
      <c r="I68">
        <v>167.5</v>
      </c>
      <c r="J68">
        <v>220.8</v>
      </c>
      <c r="K68">
        <v>169.2</v>
      </c>
      <c r="L68">
        <v>123.1</v>
      </c>
      <c r="M68">
        <v>193.6</v>
      </c>
      <c r="N68">
        <v>161.1</v>
      </c>
      <c r="O68">
        <v>190.4</v>
      </c>
      <c r="P68">
        <v>181.8</v>
      </c>
    </row>
    <row r="69" spans="1:16" x14ac:dyDescent="0.3">
      <c r="A69" t="s">
        <v>34</v>
      </c>
      <c r="B69">
        <v>2022</v>
      </c>
      <c r="C69" t="s">
        <v>42</v>
      </c>
      <c r="D69">
        <v>163.5</v>
      </c>
      <c r="E69">
        <v>209.2</v>
      </c>
      <c r="F69">
        <v>169.7</v>
      </c>
      <c r="G69">
        <v>169.7</v>
      </c>
      <c r="H69">
        <v>188.7</v>
      </c>
      <c r="I69">
        <v>165.7</v>
      </c>
      <c r="J69">
        <v>191.8</v>
      </c>
      <c r="K69">
        <v>169.1</v>
      </c>
      <c r="L69">
        <v>121.6</v>
      </c>
      <c r="M69">
        <v>197.3</v>
      </c>
      <c r="N69">
        <v>169.4</v>
      </c>
      <c r="O69">
        <v>187.4</v>
      </c>
      <c r="P69">
        <v>177.8</v>
      </c>
    </row>
    <row r="70" spans="1:16" x14ac:dyDescent="0.3">
      <c r="A70" t="s">
        <v>30</v>
      </c>
      <c r="B70">
        <v>2022</v>
      </c>
      <c r="C70" t="s">
        <v>43</v>
      </c>
      <c r="D70">
        <v>164.7</v>
      </c>
      <c r="E70">
        <v>208.8</v>
      </c>
      <c r="F70">
        <v>170.3</v>
      </c>
      <c r="G70">
        <v>170.9</v>
      </c>
      <c r="H70">
        <v>191.6</v>
      </c>
      <c r="I70">
        <v>162.19999999999999</v>
      </c>
      <c r="J70">
        <v>184.8</v>
      </c>
      <c r="K70">
        <v>169.7</v>
      </c>
      <c r="L70">
        <v>121.1</v>
      </c>
      <c r="M70">
        <v>201.6</v>
      </c>
      <c r="N70">
        <v>175.8</v>
      </c>
      <c r="O70">
        <v>185.6</v>
      </c>
      <c r="P70">
        <v>177.4</v>
      </c>
    </row>
    <row r="71" spans="1:16" x14ac:dyDescent="0.3">
      <c r="A71" t="s">
        <v>33</v>
      </c>
      <c r="B71">
        <v>2022</v>
      </c>
      <c r="C71" t="s">
        <v>43</v>
      </c>
      <c r="D71">
        <v>166.4</v>
      </c>
      <c r="E71">
        <v>214.9</v>
      </c>
      <c r="F71">
        <v>171.9</v>
      </c>
      <c r="G71">
        <v>171</v>
      </c>
      <c r="H71">
        <v>177.7</v>
      </c>
      <c r="I71">
        <v>165.7</v>
      </c>
      <c r="J71">
        <v>228.6</v>
      </c>
      <c r="K71">
        <v>169.9</v>
      </c>
      <c r="L71">
        <v>123.4</v>
      </c>
      <c r="M71">
        <v>196.4</v>
      </c>
      <c r="N71">
        <v>161.6</v>
      </c>
      <c r="O71">
        <v>191.5</v>
      </c>
      <c r="P71">
        <v>183.3</v>
      </c>
    </row>
    <row r="72" spans="1:16" x14ac:dyDescent="0.3">
      <c r="A72" t="s">
        <v>34</v>
      </c>
      <c r="B72">
        <v>2022</v>
      </c>
      <c r="C72" t="s">
        <v>43</v>
      </c>
      <c r="D72">
        <v>165.2</v>
      </c>
      <c r="E72">
        <v>210.9</v>
      </c>
      <c r="F72">
        <v>170.9</v>
      </c>
      <c r="G72">
        <v>170.9</v>
      </c>
      <c r="H72">
        <v>186.5</v>
      </c>
      <c r="I72">
        <v>163.80000000000001</v>
      </c>
      <c r="J72">
        <v>199.7</v>
      </c>
      <c r="K72">
        <v>169.8</v>
      </c>
      <c r="L72">
        <v>121.9</v>
      </c>
      <c r="M72">
        <v>199.9</v>
      </c>
      <c r="N72">
        <v>169.9</v>
      </c>
      <c r="O72">
        <v>188.3</v>
      </c>
      <c r="P72">
        <v>179.6</v>
      </c>
    </row>
    <row r="73" spans="1:16" x14ac:dyDescent="0.3">
      <c r="A73" t="s">
        <v>30</v>
      </c>
      <c r="B73">
        <v>2022</v>
      </c>
      <c r="C73" t="s">
        <v>45</v>
      </c>
      <c r="D73">
        <v>166.9</v>
      </c>
      <c r="E73">
        <v>207.2</v>
      </c>
      <c r="F73">
        <v>180.2</v>
      </c>
      <c r="G73">
        <v>172.3</v>
      </c>
      <c r="H73">
        <v>194</v>
      </c>
      <c r="I73">
        <v>159.1</v>
      </c>
      <c r="J73">
        <v>171.6</v>
      </c>
      <c r="K73">
        <v>170.2</v>
      </c>
      <c r="L73">
        <v>121.5</v>
      </c>
      <c r="M73">
        <v>204.8</v>
      </c>
      <c r="N73">
        <v>176.4</v>
      </c>
      <c r="O73">
        <v>186.9</v>
      </c>
      <c r="P73">
        <v>176.6</v>
      </c>
    </row>
    <row r="74" spans="1:16" x14ac:dyDescent="0.3">
      <c r="A74" t="s">
        <v>33</v>
      </c>
      <c r="B74">
        <v>2022</v>
      </c>
      <c r="C74" t="s">
        <v>45</v>
      </c>
      <c r="D74">
        <v>168.4</v>
      </c>
      <c r="E74">
        <v>213.4</v>
      </c>
      <c r="F74">
        <v>183.2</v>
      </c>
      <c r="G74">
        <v>172.3</v>
      </c>
      <c r="H74">
        <v>180</v>
      </c>
      <c r="I74">
        <v>162.6</v>
      </c>
      <c r="J74">
        <v>205.5</v>
      </c>
      <c r="K74">
        <v>171</v>
      </c>
      <c r="L74">
        <v>123.4</v>
      </c>
      <c r="M74">
        <v>198.8</v>
      </c>
      <c r="N74">
        <v>162.1</v>
      </c>
      <c r="O74">
        <v>192.4</v>
      </c>
      <c r="P74">
        <v>181.3</v>
      </c>
    </row>
    <row r="75" spans="1:16" x14ac:dyDescent="0.3">
      <c r="A75" t="s">
        <v>34</v>
      </c>
      <c r="B75">
        <v>2022</v>
      </c>
      <c r="C75" t="s">
        <v>45</v>
      </c>
      <c r="D75">
        <v>167.4</v>
      </c>
      <c r="E75">
        <v>209.4</v>
      </c>
      <c r="F75">
        <v>181.4</v>
      </c>
      <c r="G75">
        <v>172.3</v>
      </c>
      <c r="H75">
        <v>188.9</v>
      </c>
      <c r="I75">
        <v>160.69999999999999</v>
      </c>
      <c r="J75">
        <v>183.1</v>
      </c>
      <c r="K75">
        <v>170.5</v>
      </c>
      <c r="L75">
        <v>122.1</v>
      </c>
      <c r="M75">
        <v>202.8</v>
      </c>
      <c r="N75">
        <v>170.4</v>
      </c>
      <c r="O75">
        <v>189.5</v>
      </c>
      <c r="P75">
        <v>178.3</v>
      </c>
    </row>
    <row r="76" spans="1:16" x14ac:dyDescent="0.3">
      <c r="A76" t="s">
        <v>30</v>
      </c>
      <c r="B76">
        <v>2022</v>
      </c>
      <c r="C76" t="s">
        <v>46</v>
      </c>
      <c r="D76">
        <v>168.8</v>
      </c>
      <c r="E76">
        <v>206.9</v>
      </c>
      <c r="F76">
        <v>189.1</v>
      </c>
      <c r="G76">
        <v>173.4</v>
      </c>
      <c r="H76">
        <v>193.9</v>
      </c>
      <c r="I76">
        <v>156.69999999999999</v>
      </c>
      <c r="J76">
        <v>150.19999999999999</v>
      </c>
      <c r="K76">
        <v>170.5</v>
      </c>
      <c r="L76">
        <v>121.2</v>
      </c>
      <c r="M76">
        <v>207.5</v>
      </c>
      <c r="N76">
        <v>176.8</v>
      </c>
      <c r="O76">
        <v>187.7</v>
      </c>
      <c r="P76">
        <v>174.4</v>
      </c>
    </row>
    <row r="77" spans="1:16" x14ac:dyDescent="0.3">
      <c r="A77" t="s">
        <v>33</v>
      </c>
      <c r="B77">
        <v>2022</v>
      </c>
      <c r="C77" t="s">
        <v>46</v>
      </c>
      <c r="D77">
        <v>170.2</v>
      </c>
      <c r="E77">
        <v>212.9</v>
      </c>
      <c r="F77">
        <v>191.9</v>
      </c>
      <c r="G77">
        <v>173.9</v>
      </c>
      <c r="H77">
        <v>179.1</v>
      </c>
      <c r="I77">
        <v>159.5</v>
      </c>
      <c r="J77">
        <v>178.7</v>
      </c>
      <c r="K77">
        <v>171.3</v>
      </c>
      <c r="L77">
        <v>123.1</v>
      </c>
      <c r="M77">
        <v>200.5</v>
      </c>
      <c r="N77">
        <v>162.80000000000001</v>
      </c>
      <c r="O77">
        <v>193.3</v>
      </c>
      <c r="P77">
        <v>178.6</v>
      </c>
    </row>
    <row r="78" spans="1:16" x14ac:dyDescent="0.3">
      <c r="A78" t="s">
        <v>34</v>
      </c>
      <c r="B78">
        <v>2022</v>
      </c>
      <c r="C78" t="s">
        <v>46</v>
      </c>
      <c r="D78">
        <v>169.2</v>
      </c>
      <c r="E78">
        <v>209</v>
      </c>
      <c r="F78">
        <v>190.2</v>
      </c>
      <c r="G78">
        <v>173.6</v>
      </c>
      <c r="H78">
        <v>188.5</v>
      </c>
      <c r="I78">
        <v>158</v>
      </c>
      <c r="J78">
        <v>159.9</v>
      </c>
      <c r="K78">
        <v>170.8</v>
      </c>
      <c r="L78">
        <v>121.8</v>
      </c>
      <c r="M78">
        <v>205.2</v>
      </c>
      <c r="N78">
        <v>171</v>
      </c>
      <c r="O78">
        <v>190.3</v>
      </c>
      <c r="P78">
        <v>175.9</v>
      </c>
    </row>
    <row r="79" spans="1:16" x14ac:dyDescent="0.3">
      <c r="A79" t="s">
        <v>30</v>
      </c>
      <c r="B79">
        <v>2023</v>
      </c>
      <c r="C79" t="s">
        <v>31</v>
      </c>
      <c r="D79">
        <v>174</v>
      </c>
      <c r="E79">
        <v>208.3</v>
      </c>
      <c r="F79">
        <v>192.9</v>
      </c>
      <c r="G79">
        <v>174.3</v>
      </c>
      <c r="H79">
        <v>192.6</v>
      </c>
      <c r="I79">
        <v>156.30000000000001</v>
      </c>
      <c r="J79">
        <v>142.9</v>
      </c>
      <c r="K79">
        <v>170.7</v>
      </c>
      <c r="L79">
        <v>120.3</v>
      </c>
      <c r="M79">
        <v>210.5</v>
      </c>
      <c r="N79">
        <v>176.9</v>
      </c>
      <c r="O79">
        <v>188.5</v>
      </c>
      <c r="P79">
        <v>175</v>
      </c>
    </row>
    <row r="80" spans="1:16" x14ac:dyDescent="0.3">
      <c r="A80" t="s">
        <v>33</v>
      </c>
      <c r="B80">
        <v>2023</v>
      </c>
      <c r="C80" t="s">
        <v>31</v>
      </c>
      <c r="D80">
        <v>173.3</v>
      </c>
      <c r="E80">
        <v>215.2</v>
      </c>
      <c r="F80">
        <v>197</v>
      </c>
      <c r="G80">
        <v>175.2</v>
      </c>
      <c r="H80">
        <v>178</v>
      </c>
      <c r="I80">
        <v>160.5</v>
      </c>
      <c r="J80">
        <v>175.3</v>
      </c>
      <c r="K80">
        <v>171.2</v>
      </c>
      <c r="L80">
        <v>122.7</v>
      </c>
      <c r="M80">
        <v>204.3</v>
      </c>
      <c r="N80">
        <v>163.69999999999999</v>
      </c>
      <c r="O80">
        <v>194.3</v>
      </c>
      <c r="P80">
        <v>179.5</v>
      </c>
    </row>
    <row r="81" spans="1:16" x14ac:dyDescent="0.3">
      <c r="A81" t="s">
        <v>34</v>
      </c>
      <c r="B81">
        <v>2023</v>
      </c>
      <c r="C81" t="s">
        <v>31</v>
      </c>
      <c r="D81">
        <v>173.8</v>
      </c>
      <c r="E81">
        <v>210.7</v>
      </c>
      <c r="F81">
        <v>194.5</v>
      </c>
      <c r="G81">
        <v>174.6</v>
      </c>
      <c r="H81">
        <v>187.2</v>
      </c>
      <c r="I81">
        <v>158.30000000000001</v>
      </c>
      <c r="J81">
        <v>153.9</v>
      </c>
      <c r="K81">
        <v>170.9</v>
      </c>
      <c r="L81">
        <v>121.1</v>
      </c>
      <c r="M81">
        <v>208.4</v>
      </c>
      <c r="N81">
        <v>171.4</v>
      </c>
      <c r="O81">
        <v>191.2</v>
      </c>
      <c r="P81">
        <v>176.7</v>
      </c>
    </row>
    <row r="82" spans="1:16" x14ac:dyDescent="0.3">
      <c r="A82" t="s">
        <v>30</v>
      </c>
      <c r="B82">
        <v>2023</v>
      </c>
      <c r="C82" t="s">
        <v>35</v>
      </c>
      <c r="D82">
        <v>174.2</v>
      </c>
      <c r="E82">
        <v>205.2</v>
      </c>
      <c r="F82">
        <v>173.9</v>
      </c>
      <c r="G82">
        <v>177</v>
      </c>
      <c r="H82">
        <v>183.4</v>
      </c>
      <c r="I82">
        <v>167.2</v>
      </c>
      <c r="J82">
        <v>140.9</v>
      </c>
      <c r="K82">
        <v>170.4</v>
      </c>
      <c r="L82">
        <v>119.1</v>
      </c>
      <c r="M82">
        <v>212.1</v>
      </c>
      <c r="N82">
        <v>177.6</v>
      </c>
      <c r="O82">
        <v>189.9</v>
      </c>
      <c r="P82">
        <v>174.8</v>
      </c>
    </row>
    <row r="83" spans="1:16" x14ac:dyDescent="0.3">
      <c r="A83" t="s">
        <v>33</v>
      </c>
      <c r="B83">
        <v>2023</v>
      </c>
      <c r="C83" t="s">
        <v>35</v>
      </c>
      <c r="D83">
        <v>174.7</v>
      </c>
      <c r="E83">
        <v>212.2</v>
      </c>
      <c r="F83">
        <v>177.2</v>
      </c>
      <c r="G83">
        <v>177.9</v>
      </c>
      <c r="H83">
        <v>172.2</v>
      </c>
      <c r="I83">
        <v>172.1</v>
      </c>
      <c r="J83">
        <v>175.8</v>
      </c>
      <c r="K83">
        <v>172.2</v>
      </c>
      <c r="L83">
        <v>121.9</v>
      </c>
      <c r="M83">
        <v>204.8</v>
      </c>
      <c r="N83">
        <v>164.9</v>
      </c>
      <c r="O83">
        <v>196.6</v>
      </c>
      <c r="P83">
        <v>180.7</v>
      </c>
    </row>
    <row r="84" spans="1:16" x14ac:dyDescent="0.3">
      <c r="A84" t="s">
        <v>34</v>
      </c>
      <c r="B84">
        <v>2023</v>
      </c>
      <c r="C84" t="s">
        <v>35</v>
      </c>
      <c r="D84">
        <v>174.4</v>
      </c>
      <c r="E84">
        <v>207.7</v>
      </c>
      <c r="F84">
        <v>175.2</v>
      </c>
      <c r="G84">
        <v>177.3</v>
      </c>
      <c r="H84">
        <v>179.3</v>
      </c>
      <c r="I84">
        <v>169.5</v>
      </c>
      <c r="J84">
        <v>152.69999999999999</v>
      </c>
      <c r="K84">
        <v>171</v>
      </c>
      <c r="L84">
        <v>120</v>
      </c>
      <c r="M84">
        <v>209.7</v>
      </c>
      <c r="N84">
        <v>172.3</v>
      </c>
      <c r="O84">
        <v>193</v>
      </c>
      <c r="P84">
        <v>177</v>
      </c>
    </row>
    <row r="85" spans="1:16" x14ac:dyDescent="0.3">
      <c r="A85" t="s">
        <v>30</v>
      </c>
      <c r="B85">
        <v>2023</v>
      </c>
      <c r="C85" t="s">
        <v>36</v>
      </c>
      <c r="D85">
        <v>174.3</v>
      </c>
      <c r="E85">
        <v>205.2</v>
      </c>
      <c r="F85">
        <v>173.9</v>
      </c>
      <c r="G85">
        <v>177</v>
      </c>
      <c r="H85">
        <v>183.3</v>
      </c>
      <c r="I85">
        <v>167.2</v>
      </c>
      <c r="J85">
        <v>140.9</v>
      </c>
      <c r="K85">
        <v>170.5</v>
      </c>
      <c r="L85">
        <v>119.1</v>
      </c>
      <c r="M85">
        <v>212.1</v>
      </c>
      <c r="N85">
        <v>177.6</v>
      </c>
      <c r="O85">
        <v>189.9</v>
      </c>
      <c r="P85">
        <v>174.8</v>
      </c>
    </row>
    <row r="86" spans="1:16" x14ac:dyDescent="0.3">
      <c r="A86" t="s">
        <v>33</v>
      </c>
      <c r="B86">
        <v>2023</v>
      </c>
      <c r="C86" t="s">
        <v>36</v>
      </c>
      <c r="D86">
        <v>174.7</v>
      </c>
      <c r="E86">
        <v>212.2</v>
      </c>
      <c r="F86">
        <v>177.2</v>
      </c>
      <c r="G86">
        <v>177.9</v>
      </c>
      <c r="H86">
        <v>172.2</v>
      </c>
      <c r="I86">
        <v>172.1</v>
      </c>
      <c r="J86">
        <v>175.9</v>
      </c>
      <c r="K86">
        <v>172.2</v>
      </c>
      <c r="L86">
        <v>121.9</v>
      </c>
      <c r="M86">
        <v>204.8</v>
      </c>
      <c r="N86">
        <v>164.9</v>
      </c>
      <c r="O86">
        <v>196.6</v>
      </c>
      <c r="P86">
        <v>180.8</v>
      </c>
    </row>
    <row r="87" spans="1:16" x14ac:dyDescent="0.3">
      <c r="A87" t="s">
        <v>34</v>
      </c>
      <c r="B87">
        <v>2023</v>
      </c>
      <c r="C87" t="s">
        <v>36</v>
      </c>
      <c r="D87">
        <v>174.4</v>
      </c>
      <c r="E87">
        <v>207.7</v>
      </c>
      <c r="F87">
        <v>175.2</v>
      </c>
      <c r="G87">
        <v>177.3</v>
      </c>
      <c r="H87">
        <v>179.2</v>
      </c>
      <c r="I87">
        <v>169.5</v>
      </c>
      <c r="J87">
        <v>152.80000000000001</v>
      </c>
      <c r="K87">
        <v>171.1</v>
      </c>
      <c r="L87">
        <v>120</v>
      </c>
      <c r="M87">
        <v>209.7</v>
      </c>
      <c r="N87">
        <v>172.3</v>
      </c>
      <c r="O87">
        <v>193</v>
      </c>
      <c r="P87">
        <v>177</v>
      </c>
    </row>
    <row r="88" spans="1:16" x14ac:dyDescent="0.3">
      <c r="A88" t="s">
        <v>30</v>
      </c>
      <c r="B88">
        <v>2023</v>
      </c>
      <c r="C88" t="s">
        <v>37</v>
      </c>
      <c r="D88">
        <v>173.3</v>
      </c>
      <c r="E88">
        <v>206.9</v>
      </c>
      <c r="F88">
        <v>167.9</v>
      </c>
      <c r="G88">
        <v>178.2</v>
      </c>
      <c r="H88">
        <v>178.5</v>
      </c>
      <c r="I88">
        <v>173.7</v>
      </c>
      <c r="J88">
        <v>142.80000000000001</v>
      </c>
      <c r="K88">
        <v>172.8</v>
      </c>
      <c r="L88">
        <v>120.4</v>
      </c>
      <c r="M88">
        <v>215.5</v>
      </c>
      <c r="N88">
        <v>178.2</v>
      </c>
      <c r="O88">
        <v>190.5</v>
      </c>
      <c r="P88">
        <v>175.5</v>
      </c>
    </row>
    <row r="89" spans="1:16" x14ac:dyDescent="0.3">
      <c r="A89" t="s">
        <v>33</v>
      </c>
      <c r="B89">
        <v>2023</v>
      </c>
      <c r="C89" t="s">
        <v>37</v>
      </c>
      <c r="D89">
        <v>174.8</v>
      </c>
      <c r="E89">
        <v>213.7</v>
      </c>
      <c r="F89">
        <v>172.4</v>
      </c>
      <c r="G89">
        <v>178.8</v>
      </c>
      <c r="H89">
        <v>168.7</v>
      </c>
      <c r="I89">
        <v>179.2</v>
      </c>
      <c r="J89">
        <v>179.9</v>
      </c>
      <c r="K89">
        <v>174.7</v>
      </c>
      <c r="L89">
        <v>123.1</v>
      </c>
      <c r="M89">
        <v>207.8</v>
      </c>
      <c r="N89">
        <v>165.5</v>
      </c>
      <c r="O89">
        <v>197</v>
      </c>
      <c r="P89">
        <v>182.1</v>
      </c>
    </row>
    <row r="90" spans="1:16" x14ac:dyDescent="0.3">
      <c r="A90" t="s">
        <v>34</v>
      </c>
      <c r="B90">
        <v>2023</v>
      </c>
      <c r="C90" t="s">
        <v>37</v>
      </c>
      <c r="D90">
        <v>173.8</v>
      </c>
      <c r="E90">
        <v>209.3</v>
      </c>
      <c r="F90">
        <v>169.6</v>
      </c>
      <c r="G90">
        <v>178.4</v>
      </c>
      <c r="H90">
        <v>174.9</v>
      </c>
      <c r="I90">
        <v>176.3</v>
      </c>
      <c r="J90">
        <v>155.4</v>
      </c>
      <c r="K90">
        <v>173.4</v>
      </c>
      <c r="L90">
        <v>121.3</v>
      </c>
      <c r="M90">
        <v>212.9</v>
      </c>
      <c r="N90">
        <v>172.9</v>
      </c>
      <c r="O90">
        <v>193.5</v>
      </c>
      <c r="P90">
        <v>177.9</v>
      </c>
    </row>
    <row r="91" spans="1:16" x14ac:dyDescent="0.3">
      <c r="A91" t="s">
        <v>30</v>
      </c>
      <c r="B91">
        <v>2023</v>
      </c>
      <c r="C91" t="s">
        <v>38</v>
      </c>
      <c r="D91">
        <v>173.2</v>
      </c>
      <c r="E91">
        <v>211.5</v>
      </c>
      <c r="F91">
        <v>171</v>
      </c>
      <c r="G91">
        <v>179.6</v>
      </c>
      <c r="H91">
        <v>173.3</v>
      </c>
      <c r="I91">
        <v>169</v>
      </c>
      <c r="J91">
        <v>148.69999999999999</v>
      </c>
      <c r="K91">
        <v>174.9</v>
      </c>
      <c r="L91">
        <v>121.9</v>
      </c>
      <c r="M91">
        <v>221</v>
      </c>
      <c r="N91">
        <v>178.7</v>
      </c>
      <c r="O91">
        <v>191.1</v>
      </c>
      <c r="P91">
        <v>176.8</v>
      </c>
    </row>
    <row r="92" spans="1:16" x14ac:dyDescent="0.3">
      <c r="A92" t="s">
        <v>33</v>
      </c>
      <c r="B92">
        <v>2023</v>
      </c>
      <c r="C92" t="s">
        <v>38</v>
      </c>
      <c r="D92">
        <v>174.7</v>
      </c>
      <c r="E92">
        <v>219.4</v>
      </c>
      <c r="F92">
        <v>176.7</v>
      </c>
      <c r="G92">
        <v>179.4</v>
      </c>
      <c r="H92">
        <v>164.4</v>
      </c>
      <c r="I92">
        <v>175.8</v>
      </c>
      <c r="J92">
        <v>185</v>
      </c>
      <c r="K92">
        <v>176.9</v>
      </c>
      <c r="L92">
        <v>124.2</v>
      </c>
      <c r="M92">
        <v>211.9</v>
      </c>
      <c r="N92">
        <v>165.9</v>
      </c>
      <c r="O92">
        <v>197.7</v>
      </c>
      <c r="P92">
        <v>183.1</v>
      </c>
    </row>
    <row r="93" spans="1:16" x14ac:dyDescent="0.3">
      <c r="A93" t="s">
        <v>34</v>
      </c>
      <c r="B93">
        <v>2023</v>
      </c>
      <c r="C93" t="s">
        <v>38</v>
      </c>
      <c r="D93">
        <v>173.7</v>
      </c>
      <c r="E93">
        <v>214.3</v>
      </c>
      <c r="F93">
        <v>173.2</v>
      </c>
      <c r="G93">
        <v>179.5</v>
      </c>
      <c r="H93">
        <v>170</v>
      </c>
      <c r="I93">
        <v>172.2</v>
      </c>
      <c r="J93">
        <v>161</v>
      </c>
      <c r="K93">
        <v>175.6</v>
      </c>
      <c r="L93">
        <v>122.7</v>
      </c>
      <c r="M93">
        <v>218</v>
      </c>
      <c r="N93">
        <v>173.4</v>
      </c>
      <c r="O93">
        <v>194.2</v>
      </c>
      <c r="P93">
        <v>179.1</v>
      </c>
    </row>
  </sheetData>
  <autoFilter ref="A54:P1048296" xr:uid="{D485DE53-5D5E-47DF-AA31-0121EA1C5082}"/>
  <mergeCells count="3">
    <mergeCell ref="B1:D1"/>
    <mergeCell ref="B17:D17"/>
    <mergeCell ref="B34:D3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242D-F427-4D67-BF31-FB6BD7219D49}">
  <dimension ref="A1:X127"/>
  <sheetViews>
    <sheetView topLeftCell="O66" zoomScale="90" zoomScaleNormal="90" workbookViewId="0">
      <selection activeCell="R33" sqref="R33"/>
    </sheetView>
  </sheetViews>
  <sheetFormatPr defaultRowHeight="14.4" x14ac:dyDescent="0.3"/>
  <cols>
    <col min="1" max="1" width="20.109375" bestFit="1" customWidth="1"/>
    <col min="2" max="2" width="5.5546875" bestFit="1" customWidth="1"/>
    <col min="3" max="3" width="9.77734375" bestFit="1" customWidth="1"/>
    <col min="4" max="4" width="18.33203125" bestFit="1" customWidth="1"/>
    <col min="5" max="5" width="11.6640625" bestFit="1" customWidth="1"/>
    <col min="6" max="6" width="7.77734375" bestFit="1" customWidth="1"/>
    <col min="7" max="7" width="15.21875" bestFit="1" customWidth="1"/>
    <col min="8" max="8" width="10.88671875" bestFit="1" customWidth="1"/>
    <col min="9" max="9" width="7.5546875" customWidth="1"/>
    <col min="10" max="10" width="10" bestFit="1" customWidth="1"/>
    <col min="11" max="11" width="17.44140625" bestFit="1" customWidth="1"/>
    <col min="12" max="12" width="20.77734375" bestFit="1" customWidth="1"/>
    <col min="13" max="13" width="7.109375" bestFit="1" customWidth="1"/>
    <col min="14" max="14" width="21.21875" bestFit="1" customWidth="1"/>
    <col min="15" max="15" width="30.88671875" bestFit="1" customWidth="1"/>
    <col min="16" max="16" width="17.109375" bestFit="1" customWidth="1"/>
    <col min="18" max="18" width="31.109375" bestFit="1" customWidth="1"/>
    <col min="19" max="19" width="32.44140625" bestFit="1" customWidth="1"/>
    <col min="20" max="20" width="26.77734375" customWidth="1"/>
  </cols>
  <sheetData>
    <row r="1" spans="1:19" s="33" customFormat="1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</row>
    <row r="2" spans="1:19" x14ac:dyDescent="0.3">
      <c r="A2" t="s">
        <v>30</v>
      </c>
      <c r="B2">
        <v>2022</v>
      </c>
      <c r="C2" t="s">
        <v>38</v>
      </c>
      <c r="D2">
        <v>152.9</v>
      </c>
      <c r="E2">
        <v>214.7</v>
      </c>
      <c r="F2">
        <v>161.4</v>
      </c>
      <c r="G2">
        <v>164.6</v>
      </c>
      <c r="H2">
        <v>209.9</v>
      </c>
      <c r="I2">
        <v>168</v>
      </c>
      <c r="J2">
        <v>160.4</v>
      </c>
      <c r="K2">
        <v>165</v>
      </c>
      <c r="L2">
        <v>118.9</v>
      </c>
      <c r="M2">
        <v>186.6</v>
      </c>
      <c r="N2">
        <v>173.2</v>
      </c>
      <c r="O2">
        <v>180.4</v>
      </c>
      <c r="P2">
        <v>170.8</v>
      </c>
    </row>
    <row r="3" spans="1:19" x14ac:dyDescent="0.3">
      <c r="A3" t="s">
        <v>30</v>
      </c>
      <c r="B3">
        <v>2022</v>
      </c>
      <c r="C3" t="s">
        <v>39</v>
      </c>
      <c r="D3">
        <v>153.80000000000001</v>
      </c>
      <c r="E3">
        <v>217.2</v>
      </c>
      <c r="F3">
        <v>169.6</v>
      </c>
      <c r="G3">
        <v>165.4</v>
      </c>
      <c r="H3">
        <v>208.1</v>
      </c>
      <c r="I3">
        <v>165.8</v>
      </c>
      <c r="J3">
        <v>167.3</v>
      </c>
      <c r="K3">
        <v>164.6</v>
      </c>
      <c r="L3">
        <v>119.1</v>
      </c>
      <c r="M3">
        <v>188.9</v>
      </c>
      <c r="N3">
        <v>174.2</v>
      </c>
      <c r="O3">
        <v>181.9</v>
      </c>
      <c r="P3">
        <v>172.4</v>
      </c>
    </row>
    <row r="4" spans="1:19" x14ac:dyDescent="0.3">
      <c r="A4" t="s">
        <v>30</v>
      </c>
      <c r="B4">
        <v>2022</v>
      </c>
      <c r="C4" t="s">
        <v>40</v>
      </c>
      <c r="D4">
        <v>155.19999999999999</v>
      </c>
      <c r="E4">
        <v>210.8</v>
      </c>
      <c r="F4">
        <v>174.3</v>
      </c>
      <c r="G4">
        <v>166.3</v>
      </c>
      <c r="H4">
        <v>202.2</v>
      </c>
      <c r="I4">
        <v>169.6</v>
      </c>
      <c r="J4">
        <v>168.6</v>
      </c>
      <c r="K4">
        <v>164.4</v>
      </c>
      <c r="L4">
        <v>119.2</v>
      </c>
      <c r="M4">
        <v>191.8</v>
      </c>
      <c r="N4">
        <v>174.5</v>
      </c>
      <c r="O4">
        <v>183.1</v>
      </c>
      <c r="P4">
        <v>172.5</v>
      </c>
    </row>
    <row r="5" spans="1:19" x14ac:dyDescent="0.3">
      <c r="A5" t="s">
        <v>30</v>
      </c>
      <c r="B5">
        <v>2022</v>
      </c>
      <c r="C5" t="s">
        <v>41</v>
      </c>
      <c r="D5">
        <v>159.5</v>
      </c>
      <c r="E5">
        <v>204.1</v>
      </c>
      <c r="F5">
        <v>168.3</v>
      </c>
      <c r="G5">
        <v>167.9</v>
      </c>
      <c r="H5">
        <v>198.1</v>
      </c>
      <c r="I5">
        <v>169.2</v>
      </c>
      <c r="J5">
        <v>173.1</v>
      </c>
      <c r="K5">
        <v>167.1</v>
      </c>
      <c r="L5">
        <v>120.2</v>
      </c>
      <c r="M5">
        <v>195.6</v>
      </c>
      <c r="N5">
        <v>174.8</v>
      </c>
      <c r="O5">
        <v>184</v>
      </c>
      <c r="P5">
        <v>173.9</v>
      </c>
    </row>
    <row r="6" spans="1:19" x14ac:dyDescent="0.3">
      <c r="A6" t="s">
        <v>30</v>
      </c>
      <c r="B6">
        <v>2022</v>
      </c>
      <c r="C6" t="s">
        <v>42</v>
      </c>
      <c r="D6">
        <v>162.9</v>
      </c>
      <c r="E6">
        <v>206.7</v>
      </c>
      <c r="F6">
        <v>169</v>
      </c>
      <c r="G6">
        <v>169.5</v>
      </c>
      <c r="H6">
        <v>194.1</v>
      </c>
      <c r="I6">
        <v>164.1</v>
      </c>
      <c r="J6">
        <v>176.9</v>
      </c>
      <c r="K6">
        <v>169</v>
      </c>
      <c r="L6">
        <v>120.8</v>
      </c>
      <c r="M6">
        <v>199.1</v>
      </c>
      <c r="N6">
        <v>175.4</v>
      </c>
      <c r="O6">
        <v>184.8</v>
      </c>
      <c r="P6">
        <v>175.5</v>
      </c>
    </row>
    <row r="7" spans="1:19" x14ac:dyDescent="0.3">
      <c r="A7" t="s">
        <v>30</v>
      </c>
      <c r="B7">
        <v>2022</v>
      </c>
      <c r="C7" t="s">
        <v>43</v>
      </c>
      <c r="D7">
        <v>164.7</v>
      </c>
      <c r="E7">
        <v>208.8</v>
      </c>
      <c r="F7">
        <v>170.3</v>
      </c>
      <c r="G7">
        <v>170.9</v>
      </c>
      <c r="H7">
        <v>191.6</v>
      </c>
      <c r="I7">
        <v>162.19999999999999</v>
      </c>
      <c r="J7">
        <v>184.8</v>
      </c>
      <c r="K7">
        <v>169.7</v>
      </c>
      <c r="L7">
        <v>121.1</v>
      </c>
      <c r="M7">
        <v>201.6</v>
      </c>
      <c r="N7">
        <v>175.8</v>
      </c>
      <c r="O7">
        <v>185.6</v>
      </c>
      <c r="P7">
        <v>177.4</v>
      </c>
    </row>
    <row r="8" spans="1:19" x14ac:dyDescent="0.3">
      <c r="A8" t="s">
        <v>30</v>
      </c>
      <c r="B8">
        <v>2022</v>
      </c>
      <c r="C8" t="s">
        <v>45</v>
      </c>
      <c r="D8">
        <v>166.9</v>
      </c>
      <c r="E8">
        <v>207.2</v>
      </c>
      <c r="F8">
        <v>180.2</v>
      </c>
      <c r="G8">
        <v>172.3</v>
      </c>
      <c r="H8">
        <v>194</v>
      </c>
      <c r="I8">
        <v>159.1</v>
      </c>
      <c r="J8">
        <v>171.6</v>
      </c>
      <c r="K8">
        <v>170.2</v>
      </c>
      <c r="L8">
        <v>121.5</v>
      </c>
      <c r="M8">
        <v>204.8</v>
      </c>
      <c r="N8">
        <v>176.4</v>
      </c>
      <c r="O8">
        <v>186.9</v>
      </c>
      <c r="P8">
        <v>176.6</v>
      </c>
    </row>
    <row r="9" spans="1:19" x14ac:dyDescent="0.3">
      <c r="A9" t="s">
        <v>30</v>
      </c>
      <c r="B9">
        <v>2022</v>
      </c>
      <c r="C9" t="s">
        <v>46</v>
      </c>
      <c r="D9">
        <v>168.8</v>
      </c>
      <c r="E9">
        <v>206.9</v>
      </c>
      <c r="F9">
        <v>189.1</v>
      </c>
      <c r="G9">
        <v>173.4</v>
      </c>
      <c r="H9">
        <v>193.9</v>
      </c>
      <c r="I9">
        <v>156.69999999999999</v>
      </c>
      <c r="J9">
        <v>150.19999999999999</v>
      </c>
      <c r="K9">
        <v>170.5</v>
      </c>
      <c r="L9">
        <v>121.2</v>
      </c>
      <c r="M9">
        <v>207.5</v>
      </c>
      <c r="N9">
        <v>176.8</v>
      </c>
      <c r="O9">
        <v>187.7</v>
      </c>
      <c r="P9">
        <v>174.4</v>
      </c>
    </row>
    <row r="10" spans="1:19" x14ac:dyDescent="0.3">
      <c r="A10" t="s">
        <v>30</v>
      </c>
      <c r="B10">
        <v>2023</v>
      </c>
      <c r="C10" t="s">
        <v>31</v>
      </c>
      <c r="D10">
        <v>174</v>
      </c>
      <c r="E10">
        <v>208.3</v>
      </c>
      <c r="F10">
        <v>192.9</v>
      </c>
      <c r="G10">
        <v>174.3</v>
      </c>
      <c r="H10">
        <v>192.6</v>
      </c>
      <c r="I10">
        <v>156.30000000000001</v>
      </c>
      <c r="J10">
        <v>142.9</v>
      </c>
      <c r="K10">
        <v>170.7</v>
      </c>
      <c r="L10">
        <v>120.3</v>
      </c>
      <c r="M10">
        <v>210.5</v>
      </c>
      <c r="N10">
        <v>176.9</v>
      </c>
      <c r="O10">
        <v>188.5</v>
      </c>
      <c r="P10">
        <v>175</v>
      </c>
      <c r="R10" s="47" t="s">
        <v>84</v>
      </c>
      <c r="S10" s="47"/>
    </row>
    <row r="11" spans="1:19" x14ac:dyDescent="0.3">
      <c r="A11" t="s">
        <v>30</v>
      </c>
      <c r="B11">
        <v>2023</v>
      </c>
      <c r="C11" t="s">
        <v>35</v>
      </c>
      <c r="D11">
        <v>174.2</v>
      </c>
      <c r="E11">
        <v>205.2</v>
      </c>
      <c r="F11">
        <v>173.9</v>
      </c>
      <c r="G11">
        <v>177</v>
      </c>
      <c r="H11">
        <v>183.4</v>
      </c>
      <c r="I11">
        <v>167.2</v>
      </c>
      <c r="J11">
        <v>140.9</v>
      </c>
      <c r="K11">
        <v>170.4</v>
      </c>
      <c r="L11">
        <v>119.1</v>
      </c>
      <c r="M11">
        <v>212.1</v>
      </c>
      <c r="N11">
        <v>177.6</v>
      </c>
      <c r="O11">
        <v>189.9</v>
      </c>
      <c r="P11">
        <v>174.8</v>
      </c>
      <c r="R11" t="s">
        <v>83</v>
      </c>
      <c r="S11" t="s">
        <v>81</v>
      </c>
    </row>
    <row r="12" spans="1:19" x14ac:dyDescent="0.3">
      <c r="A12" t="s">
        <v>30</v>
      </c>
      <c r="B12">
        <v>2023</v>
      </c>
      <c r="C12" t="s">
        <v>36</v>
      </c>
      <c r="D12">
        <v>174.3</v>
      </c>
      <c r="E12">
        <v>205.2</v>
      </c>
      <c r="F12">
        <v>173.9</v>
      </c>
      <c r="G12">
        <v>177</v>
      </c>
      <c r="H12">
        <v>183.3</v>
      </c>
      <c r="I12">
        <v>167.2</v>
      </c>
      <c r="J12">
        <v>140.9</v>
      </c>
      <c r="K12">
        <v>170.5</v>
      </c>
      <c r="L12">
        <v>119.1</v>
      </c>
      <c r="M12">
        <v>212.1</v>
      </c>
      <c r="N12">
        <v>177.6</v>
      </c>
      <c r="O12">
        <v>189.9</v>
      </c>
      <c r="P12">
        <v>174.8</v>
      </c>
      <c r="R12" t="s">
        <v>3</v>
      </c>
      <c r="S12" s="21">
        <v>0.12601803352788893</v>
      </c>
    </row>
    <row r="13" spans="1:19" x14ac:dyDescent="0.3">
      <c r="A13" t="s">
        <v>30</v>
      </c>
      <c r="B13">
        <v>2023</v>
      </c>
      <c r="C13" t="s">
        <v>37</v>
      </c>
      <c r="D13">
        <v>173.3</v>
      </c>
      <c r="E13">
        <v>206.9</v>
      </c>
      <c r="F13">
        <v>167.9</v>
      </c>
      <c r="G13">
        <v>178.2</v>
      </c>
      <c r="H13">
        <v>178.5</v>
      </c>
      <c r="I13">
        <v>173.7</v>
      </c>
      <c r="J13">
        <v>142.80000000000001</v>
      </c>
      <c r="K13">
        <v>172.8</v>
      </c>
      <c r="L13">
        <v>120.4</v>
      </c>
      <c r="M13">
        <v>215.5</v>
      </c>
      <c r="N13">
        <v>178.2</v>
      </c>
      <c r="O13">
        <v>190.5</v>
      </c>
      <c r="P13">
        <v>175.5</v>
      </c>
      <c r="R13" t="s">
        <v>4</v>
      </c>
      <c r="S13" s="21">
        <v>-1.3415927239515419E-2</v>
      </c>
    </row>
    <row r="14" spans="1:19" x14ac:dyDescent="0.3">
      <c r="A14" t="s">
        <v>30</v>
      </c>
      <c r="B14">
        <v>2023</v>
      </c>
      <c r="C14" t="s">
        <v>38</v>
      </c>
      <c r="D14">
        <v>173.2</v>
      </c>
      <c r="E14">
        <v>211.5</v>
      </c>
      <c r="F14">
        <v>171</v>
      </c>
      <c r="G14">
        <v>179.6</v>
      </c>
      <c r="H14">
        <v>173.3</v>
      </c>
      <c r="I14">
        <v>169</v>
      </c>
      <c r="J14">
        <v>148.69999999999999</v>
      </c>
      <c r="K14">
        <v>174.9</v>
      </c>
      <c r="L14">
        <v>121.9</v>
      </c>
      <c r="M14">
        <v>221</v>
      </c>
      <c r="N14">
        <v>178.7</v>
      </c>
      <c r="O14">
        <v>191.1</v>
      </c>
      <c r="P14">
        <v>176.8</v>
      </c>
      <c r="R14" t="s">
        <v>5</v>
      </c>
      <c r="S14" s="21">
        <v>6.9027470519994569E-2</v>
      </c>
    </row>
    <row r="15" spans="1:19" x14ac:dyDescent="0.3">
      <c r="R15" t="s">
        <v>6</v>
      </c>
      <c r="S15" s="21">
        <v>8.7604842900340665E-2</v>
      </c>
    </row>
    <row r="16" spans="1:19" x14ac:dyDescent="0.3">
      <c r="H16" s="49" t="s">
        <v>78</v>
      </c>
      <c r="I16" s="49"/>
      <c r="J16" s="49"/>
      <c r="K16" s="49"/>
      <c r="L16" s="49"/>
      <c r="R16" t="s">
        <v>7</v>
      </c>
      <c r="S16" s="21">
        <v>-0.18860073732493318</v>
      </c>
    </row>
    <row r="17" spans="1:20" x14ac:dyDescent="0.3">
      <c r="A17" s="33" t="s">
        <v>0</v>
      </c>
      <c r="B17" s="33" t="s">
        <v>1</v>
      </c>
      <c r="C17" s="33" t="s">
        <v>2</v>
      </c>
      <c r="D17" s="33" t="s">
        <v>3</v>
      </c>
      <c r="E17" s="33" t="s">
        <v>4</v>
      </c>
      <c r="F17" s="33" t="s">
        <v>5</v>
      </c>
      <c r="G17" s="33" t="s">
        <v>6</v>
      </c>
      <c r="H17" s="33" t="s">
        <v>7</v>
      </c>
      <c r="I17" s="33" t="s">
        <v>8</v>
      </c>
      <c r="J17" s="33" t="s">
        <v>9</v>
      </c>
      <c r="K17" s="33" t="s">
        <v>10</v>
      </c>
      <c r="L17" s="33" t="s">
        <v>11</v>
      </c>
      <c r="M17" s="33" t="s">
        <v>12</v>
      </c>
      <c r="N17" s="33" t="s">
        <v>13</v>
      </c>
      <c r="O17" s="33" t="s">
        <v>14</v>
      </c>
      <c r="P17" s="33" t="s">
        <v>15</v>
      </c>
      <c r="R17" t="s">
        <v>8</v>
      </c>
      <c r="S17" s="21">
        <v>1.0550729170309782E-2</v>
      </c>
    </row>
    <row r="18" spans="1:20" x14ac:dyDescent="0.3">
      <c r="A18" t="s">
        <v>30</v>
      </c>
      <c r="B18">
        <v>2022</v>
      </c>
      <c r="C18" t="s">
        <v>38</v>
      </c>
      <c r="R18" t="s">
        <v>9</v>
      </c>
      <c r="S18" s="21">
        <v>-5.9844646584606448E-2</v>
      </c>
    </row>
    <row r="19" spans="1:20" x14ac:dyDescent="0.3">
      <c r="A19" t="s">
        <v>30</v>
      </c>
      <c r="B19">
        <v>2022</v>
      </c>
      <c r="C19" t="s">
        <v>39</v>
      </c>
      <c r="D19" s="21">
        <f>(D3-D2)/D2</f>
        <v>5.8862001308044847E-3</v>
      </c>
      <c r="E19" s="21">
        <f t="shared" ref="E19:P19" si="0">(E3-E2)/E2</f>
        <v>1.1644154634373545E-2</v>
      </c>
      <c r="F19" s="21">
        <f t="shared" si="0"/>
        <v>5.0805452292441065E-2</v>
      </c>
      <c r="G19" s="21">
        <f t="shared" si="0"/>
        <v>4.8602673147023776E-3</v>
      </c>
      <c r="H19" s="21">
        <f t="shared" si="0"/>
        <v>-8.5755121486422638E-3</v>
      </c>
      <c r="I19" s="21">
        <f t="shared" si="0"/>
        <v>-1.3095238095238028E-2</v>
      </c>
      <c r="J19" s="21">
        <f t="shared" si="0"/>
        <v>4.3017456359102278E-2</v>
      </c>
      <c r="K19" s="21">
        <f t="shared" si="0"/>
        <v>-2.4242424242424585E-3</v>
      </c>
      <c r="L19" s="21">
        <f t="shared" si="0"/>
        <v>1.6820857863750094E-3</v>
      </c>
      <c r="M19" s="21">
        <f t="shared" si="0"/>
        <v>1.2325830653804992E-2</v>
      </c>
      <c r="N19" s="21">
        <f t="shared" si="0"/>
        <v>5.7736720554272519E-3</v>
      </c>
      <c r="O19" s="21">
        <f t="shared" si="0"/>
        <v>8.3148558758314849E-3</v>
      </c>
      <c r="P19" s="21">
        <f t="shared" si="0"/>
        <v>9.3676814988290051E-3</v>
      </c>
      <c r="R19" t="s">
        <v>10</v>
      </c>
      <c r="S19" s="21">
        <v>5.8650424856599249E-2</v>
      </c>
    </row>
    <row r="20" spans="1:20" x14ac:dyDescent="0.3">
      <c r="A20" t="s">
        <v>30</v>
      </c>
      <c r="B20">
        <v>2022</v>
      </c>
      <c r="C20" t="s">
        <v>40</v>
      </c>
      <c r="D20" s="21">
        <f t="shared" ref="D20:P20" si="1">(D4-D3)/D3</f>
        <v>9.102730819245626E-3</v>
      </c>
      <c r="E20" s="21">
        <f t="shared" si="1"/>
        <v>-2.9465930018416103E-2</v>
      </c>
      <c r="F20" s="21">
        <f t="shared" si="1"/>
        <v>2.7712264150943498E-2</v>
      </c>
      <c r="G20" s="21">
        <f t="shared" si="1"/>
        <v>5.4413542926239761E-3</v>
      </c>
      <c r="H20" s="21">
        <f t="shared" si="1"/>
        <v>-2.8351753964440202E-2</v>
      </c>
      <c r="I20" s="21">
        <f t="shared" si="1"/>
        <v>2.2919179734619918E-2</v>
      </c>
      <c r="J20" s="21">
        <f t="shared" si="1"/>
        <v>7.770472205618547E-3</v>
      </c>
      <c r="K20" s="21">
        <f t="shared" si="1"/>
        <v>-1.2150668286755081E-3</v>
      </c>
      <c r="L20" s="21">
        <f t="shared" si="1"/>
        <v>8.3963056255254855E-4</v>
      </c>
      <c r="M20" s="21">
        <f t="shared" si="1"/>
        <v>1.5352038115405005E-2</v>
      </c>
      <c r="N20" s="21">
        <f t="shared" si="1"/>
        <v>1.7221584385764144E-3</v>
      </c>
      <c r="O20" s="21">
        <f t="shared" si="1"/>
        <v>6.5970313358987825E-3</v>
      </c>
      <c r="P20" s="21">
        <f t="shared" si="1"/>
        <v>5.80046403712264E-4</v>
      </c>
      <c r="R20" t="s">
        <v>11</v>
      </c>
      <c r="S20" s="21">
        <v>2.5192886014239267E-2</v>
      </c>
    </row>
    <row r="21" spans="1:20" x14ac:dyDescent="0.3">
      <c r="A21" t="s">
        <v>30</v>
      </c>
      <c r="B21">
        <v>2022</v>
      </c>
      <c r="C21" t="s">
        <v>41</v>
      </c>
      <c r="D21" s="21">
        <f t="shared" ref="D21:P21" si="2">(D5-D4)/D4</f>
        <v>2.7706185567010384E-2</v>
      </c>
      <c r="E21" s="21">
        <f t="shared" si="2"/>
        <v>-3.1783681214421329E-2</v>
      </c>
      <c r="F21" s="21">
        <f t="shared" si="2"/>
        <v>-3.4423407917383818E-2</v>
      </c>
      <c r="G21" s="21">
        <f t="shared" si="2"/>
        <v>9.6211665664461474E-3</v>
      </c>
      <c r="H21" s="21">
        <f t="shared" si="2"/>
        <v>-2.0276953511374849E-2</v>
      </c>
      <c r="I21" s="21">
        <f t="shared" si="2"/>
        <v>-2.3584905660377696E-3</v>
      </c>
      <c r="J21" s="21">
        <f t="shared" si="2"/>
        <v>2.6690391459074734E-2</v>
      </c>
      <c r="K21" s="21">
        <f t="shared" si="2"/>
        <v>1.6423357664233508E-2</v>
      </c>
      <c r="L21" s="21">
        <f t="shared" si="2"/>
        <v>8.389261744966443E-3</v>
      </c>
      <c r="M21" s="21">
        <f t="shared" si="2"/>
        <v>1.981230448383724E-2</v>
      </c>
      <c r="N21" s="21">
        <f t="shared" si="2"/>
        <v>1.7191977077364547E-3</v>
      </c>
      <c r="O21" s="21">
        <f t="shared" si="2"/>
        <v>4.9153468050246079E-3</v>
      </c>
      <c r="P21" s="21">
        <f t="shared" si="2"/>
        <v>8.1159420289855407E-3</v>
      </c>
      <c r="R21" t="s">
        <v>12</v>
      </c>
      <c r="S21" s="21">
        <v>0.17060794533039508</v>
      </c>
    </row>
    <row r="22" spans="1:20" x14ac:dyDescent="0.3">
      <c r="A22" t="s">
        <v>30</v>
      </c>
      <c r="B22">
        <v>2022</v>
      </c>
      <c r="C22" t="s">
        <v>42</v>
      </c>
      <c r="D22" s="21">
        <f t="shared" ref="D22:P22" si="3">(D6-D5)/D5</f>
        <v>2.1316614420062732E-2</v>
      </c>
      <c r="E22" s="21">
        <f t="shared" si="3"/>
        <v>1.2738853503184686E-2</v>
      </c>
      <c r="F22" s="21">
        <f t="shared" si="3"/>
        <v>4.1592394533570328E-3</v>
      </c>
      <c r="G22" s="21">
        <f t="shared" si="3"/>
        <v>9.5294818344252193E-3</v>
      </c>
      <c r="H22" s="21">
        <f t="shared" si="3"/>
        <v>-2.0191822311963654E-2</v>
      </c>
      <c r="I22" s="21">
        <f t="shared" si="3"/>
        <v>-3.0141843971631173E-2</v>
      </c>
      <c r="J22" s="21">
        <f t="shared" si="3"/>
        <v>2.1952628538417167E-2</v>
      </c>
      <c r="K22" s="21">
        <f t="shared" si="3"/>
        <v>1.1370436864153236E-2</v>
      </c>
      <c r="L22" s="21">
        <f t="shared" si="3"/>
        <v>4.9916805324458757E-3</v>
      </c>
      <c r="M22" s="21">
        <f t="shared" si="3"/>
        <v>1.7893660531697341E-2</v>
      </c>
      <c r="N22" s="21">
        <f t="shared" si="3"/>
        <v>3.4324942791761686E-3</v>
      </c>
      <c r="O22" s="21">
        <f t="shared" si="3"/>
        <v>4.3478260869565834E-3</v>
      </c>
      <c r="P22" s="21">
        <f t="shared" si="3"/>
        <v>9.2006900517538487E-3</v>
      </c>
      <c r="R22" t="s">
        <v>13</v>
      </c>
      <c r="S22" s="21">
        <v>3.131543042249578E-2</v>
      </c>
    </row>
    <row r="23" spans="1:20" x14ac:dyDescent="0.3">
      <c r="A23" t="s">
        <v>30</v>
      </c>
      <c r="B23">
        <v>2022</v>
      </c>
      <c r="C23" t="s">
        <v>43</v>
      </c>
      <c r="D23" s="21">
        <f t="shared" ref="D23:P23" si="4">(D7-D6)/D6</f>
        <v>1.1049723756905973E-2</v>
      </c>
      <c r="E23" s="21">
        <f t="shared" si="4"/>
        <v>1.0159651669085742E-2</v>
      </c>
      <c r="F23" s="21">
        <f t="shared" si="4"/>
        <v>7.6923076923077595E-3</v>
      </c>
      <c r="G23" s="21">
        <f t="shared" si="4"/>
        <v>8.2595870206490004E-3</v>
      </c>
      <c r="H23" s="21">
        <f t="shared" si="4"/>
        <v>-1.2879958784131892E-2</v>
      </c>
      <c r="I23" s="21">
        <f t="shared" si="4"/>
        <v>-1.1578305911029894E-2</v>
      </c>
      <c r="J23" s="21">
        <f t="shared" si="4"/>
        <v>4.4657998869417778E-2</v>
      </c>
      <c r="K23" s="21">
        <f t="shared" si="4"/>
        <v>4.1420118343194591E-3</v>
      </c>
      <c r="L23" s="21">
        <f t="shared" si="4"/>
        <v>2.4834437086092482E-3</v>
      </c>
      <c r="M23" s="21">
        <f t="shared" si="4"/>
        <v>1.2556504269211451E-2</v>
      </c>
      <c r="N23" s="21">
        <f t="shared" si="4"/>
        <v>2.2805017103763149E-3</v>
      </c>
      <c r="O23" s="21">
        <f t="shared" si="4"/>
        <v>4.3290043290042362E-3</v>
      </c>
      <c r="P23" s="21">
        <f t="shared" si="4"/>
        <v>1.0826210826210859E-2</v>
      </c>
      <c r="R23" t="s">
        <v>14</v>
      </c>
      <c r="S23" s="21">
        <v>5.7787078677428043E-2</v>
      </c>
    </row>
    <row r="24" spans="1:20" x14ac:dyDescent="0.3">
      <c r="A24" t="s">
        <v>30</v>
      </c>
      <c r="B24">
        <v>2022</v>
      </c>
      <c r="C24" t="s">
        <v>45</v>
      </c>
      <c r="D24" s="21">
        <f t="shared" ref="D24:P24" si="5">(D8-D7)/D7</f>
        <v>1.3357619914997069E-2</v>
      </c>
      <c r="E24" s="21">
        <f t="shared" si="5"/>
        <v>-7.6628352490422545E-3</v>
      </c>
      <c r="F24" s="21">
        <f t="shared" si="5"/>
        <v>5.8132706987668682E-2</v>
      </c>
      <c r="G24" s="21">
        <f t="shared" si="5"/>
        <v>8.1919251023990971E-3</v>
      </c>
      <c r="H24" s="21">
        <f t="shared" si="5"/>
        <v>1.2526096033402953E-2</v>
      </c>
      <c r="I24" s="21">
        <f t="shared" si="5"/>
        <v>-1.9112207151664579E-2</v>
      </c>
      <c r="J24" s="21">
        <f t="shared" si="5"/>
        <v>-7.1428571428571522E-2</v>
      </c>
      <c r="K24" s="21">
        <f t="shared" si="5"/>
        <v>2.9463759575721863E-3</v>
      </c>
      <c r="L24" s="21">
        <f t="shared" si="5"/>
        <v>3.3030553261767606E-3</v>
      </c>
      <c r="M24" s="21">
        <f t="shared" si="5"/>
        <v>1.5873015873015959E-2</v>
      </c>
      <c r="N24" s="21">
        <f t="shared" si="5"/>
        <v>3.412969283276418E-3</v>
      </c>
      <c r="O24" s="21">
        <f t="shared" si="5"/>
        <v>7.0043103448276479E-3</v>
      </c>
      <c r="P24" s="21">
        <f t="shared" si="5"/>
        <v>-4.5095828635851824E-3</v>
      </c>
      <c r="R24" t="s">
        <v>15</v>
      </c>
      <c r="S24" s="21">
        <v>3.48329506981448E-2</v>
      </c>
    </row>
    <row r="25" spans="1:20" x14ac:dyDescent="0.3">
      <c r="A25" t="s">
        <v>30</v>
      </c>
      <c r="B25">
        <v>2022</v>
      </c>
      <c r="C25" t="s">
        <v>46</v>
      </c>
      <c r="D25" s="21">
        <f t="shared" ref="D25:P25" si="6">(D9-D8)/D8</f>
        <v>1.1384062312762167E-2</v>
      </c>
      <c r="E25" s="21">
        <f t="shared" si="6"/>
        <v>-1.4478764478763656E-3</v>
      </c>
      <c r="F25" s="21">
        <f t="shared" si="6"/>
        <v>4.9389567147613798E-2</v>
      </c>
      <c r="G25" s="21">
        <f t="shared" si="6"/>
        <v>6.3842135809634021E-3</v>
      </c>
      <c r="H25" s="21">
        <f t="shared" si="6"/>
        <v>-5.1546391752574393E-4</v>
      </c>
      <c r="I25" s="21">
        <f t="shared" si="6"/>
        <v>-1.5084852294154657E-2</v>
      </c>
      <c r="J25" s="21">
        <f t="shared" si="6"/>
        <v>-0.12470862470862475</v>
      </c>
      <c r="K25" s="21">
        <f t="shared" si="6"/>
        <v>1.7626321974148729E-3</v>
      </c>
      <c r="L25" s="21">
        <f t="shared" si="6"/>
        <v>-2.4691358024691123E-3</v>
      </c>
      <c r="M25" s="21">
        <f t="shared" si="6"/>
        <v>1.3183593749999944E-2</v>
      </c>
      <c r="N25" s="21">
        <f t="shared" si="6"/>
        <v>2.2675736961451569E-3</v>
      </c>
      <c r="O25" s="21">
        <f t="shared" si="6"/>
        <v>4.2803638309255373E-3</v>
      </c>
      <c r="P25" s="21">
        <f t="shared" si="6"/>
        <v>-1.2457531143827796E-2</v>
      </c>
    </row>
    <row r="26" spans="1:20" x14ac:dyDescent="0.3">
      <c r="A26" t="s">
        <v>30</v>
      </c>
      <c r="B26">
        <v>2023</v>
      </c>
      <c r="C26" t="s">
        <v>31</v>
      </c>
      <c r="D26" s="21">
        <f t="shared" ref="D26:P26" si="7">(D10-D9)/D9</f>
        <v>3.0805687203791399E-2</v>
      </c>
      <c r="E26" s="21">
        <f t="shared" si="7"/>
        <v>6.7665538907685143E-3</v>
      </c>
      <c r="F26" s="21">
        <f t="shared" si="7"/>
        <v>2.009518773135913E-2</v>
      </c>
      <c r="G26" s="21">
        <f t="shared" si="7"/>
        <v>5.1903114186851538E-3</v>
      </c>
      <c r="H26" s="21">
        <f t="shared" si="7"/>
        <v>-6.7044868488912394E-3</v>
      </c>
      <c r="I26" s="21">
        <f t="shared" si="7"/>
        <v>-2.5526483726865173E-3</v>
      </c>
      <c r="J26" s="21">
        <f t="shared" si="7"/>
        <v>-4.8601864181091768E-2</v>
      </c>
      <c r="K26" s="21">
        <f t="shared" si="7"/>
        <v>1.173020527859171E-3</v>
      </c>
      <c r="L26" s="21">
        <f t="shared" si="7"/>
        <v>-7.4257425742574722E-3</v>
      </c>
      <c r="M26" s="21">
        <f t="shared" si="7"/>
        <v>1.4457831325301205E-2</v>
      </c>
      <c r="N26" s="21">
        <f t="shared" si="7"/>
        <v>5.6561085972847464E-4</v>
      </c>
      <c r="O26" s="21">
        <f t="shared" si="7"/>
        <v>4.2621204049014989E-3</v>
      </c>
      <c r="P26" s="21">
        <f t="shared" si="7"/>
        <v>3.4403669724770315E-3</v>
      </c>
    </row>
    <row r="27" spans="1:20" x14ac:dyDescent="0.3">
      <c r="A27" t="s">
        <v>30</v>
      </c>
      <c r="B27">
        <v>2023</v>
      </c>
      <c r="C27" t="s">
        <v>35</v>
      </c>
      <c r="D27" s="21">
        <f t="shared" ref="D27:P27" si="8">(D11-D10)/D10</f>
        <v>1.1494252873562566E-3</v>
      </c>
      <c r="E27" s="21">
        <f t="shared" si="8"/>
        <v>-1.4882381180989066E-2</v>
      </c>
      <c r="F27" s="21">
        <f t="shared" si="8"/>
        <v>-9.8496630378434424E-2</v>
      </c>
      <c r="G27" s="21">
        <f t="shared" si="8"/>
        <v>1.5490533562822654E-2</v>
      </c>
      <c r="H27" s="21">
        <f t="shared" si="8"/>
        <v>-4.7767393561786026E-2</v>
      </c>
      <c r="I27" s="21">
        <f t="shared" si="8"/>
        <v>6.973768394113869E-2</v>
      </c>
      <c r="J27" s="21">
        <f t="shared" si="8"/>
        <v>-1.3995801259622112E-2</v>
      </c>
      <c r="K27" s="21">
        <f t="shared" si="8"/>
        <v>-1.7574692442881251E-3</v>
      </c>
      <c r="L27" s="21">
        <f t="shared" si="8"/>
        <v>-9.9750623441396749E-3</v>
      </c>
      <c r="M27" s="21">
        <f t="shared" si="8"/>
        <v>7.6009501187648187E-3</v>
      </c>
      <c r="N27" s="21">
        <f t="shared" si="8"/>
        <v>3.9570378745053059E-3</v>
      </c>
      <c r="O27" s="21">
        <f t="shared" si="8"/>
        <v>7.4270557029178022E-3</v>
      </c>
      <c r="P27" s="21">
        <f t="shared" si="8"/>
        <v>-1.1428571428570779E-3</v>
      </c>
    </row>
    <row r="28" spans="1:20" x14ac:dyDescent="0.3">
      <c r="A28" t="s">
        <v>30</v>
      </c>
      <c r="B28">
        <v>2023</v>
      </c>
      <c r="C28" t="s">
        <v>36</v>
      </c>
      <c r="D28" s="21">
        <f t="shared" ref="D28:P28" si="9">(D12-D11)/D11</f>
        <v>5.7405281285891356E-4</v>
      </c>
      <c r="E28" s="21">
        <f t="shared" si="9"/>
        <v>0</v>
      </c>
      <c r="F28" s="21">
        <f t="shared" si="9"/>
        <v>0</v>
      </c>
      <c r="G28" s="21">
        <f t="shared" si="9"/>
        <v>0</v>
      </c>
      <c r="H28" s="21">
        <f t="shared" si="9"/>
        <v>-5.4525627044707916E-4</v>
      </c>
      <c r="I28" s="21">
        <f t="shared" si="9"/>
        <v>0</v>
      </c>
      <c r="J28" s="21">
        <f t="shared" si="9"/>
        <v>0</v>
      </c>
      <c r="K28" s="21">
        <f t="shared" si="9"/>
        <v>5.8685446009386333E-4</v>
      </c>
      <c r="L28" s="21">
        <f t="shared" si="9"/>
        <v>0</v>
      </c>
      <c r="M28" s="21">
        <f t="shared" si="9"/>
        <v>0</v>
      </c>
      <c r="N28" s="21">
        <f t="shared" si="9"/>
        <v>0</v>
      </c>
      <c r="O28" s="21">
        <f t="shared" si="9"/>
        <v>0</v>
      </c>
      <c r="P28" s="21">
        <f t="shared" si="9"/>
        <v>0</v>
      </c>
    </row>
    <row r="29" spans="1:20" x14ac:dyDescent="0.3">
      <c r="A29" t="s">
        <v>30</v>
      </c>
      <c r="B29">
        <v>2023</v>
      </c>
      <c r="C29" t="s">
        <v>37</v>
      </c>
      <c r="D29" s="21">
        <f t="shared" ref="D29:P29" si="10">(D13-D12)/D12</f>
        <v>-5.737234652897303E-3</v>
      </c>
      <c r="E29" s="21">
        <f t="shared" si="10"/>
        <v>8.2846003898636306E-3</v>
      </c>
      <c r="F29" s="21">
        <f t="shared" si="10"/>
        <v>-3.4502587694077054E-2</v>
      </c>
      <c r="G29" s="21">
        <f t="shared" si="10"/>
        <v>6.7796610169490882E-3</v>
      </c>
      <c r="H29" s="21">
        <f t="shared" si="10"/>
        <v>-2.61865793780688E-2</v>
      </c>
      <c r="I29" s="21">
        <f t="shared" si="10"/>
        <v>3.8875598086124404E-2</v>
      </c>
      <c r="J29" s="21">
        <f t="shared" si="10"/>
        <v>1.3484740951029138E-2</v>
      </c>
      <c r="K29" s="21">
        <f t="shared" si="10"/>
        <v>1.3489736070381298E-2</v>
      </c>
      <c r="L29" s="21">
        <f t="shared" si="10"/>
        <v>1.0915197313182296E-2</v>
      </c>
      <c r="M29" s="21">
        <f t="shared" si="10"/>
        <v>1.6030174446016059E-2</v>
      </c>
      <c r="N29" s="21">
        <f t="shared" si="10"/>
        <v>3.3783783783783465E-3</v>
      </c>
      <c r="O29" s="21">
        <f t="shared" si="10"/>
        <v>3.1595576619273002E-3</v>
      </c>
      <c r="P29" s="21">
        <f t="shared" si="10"/>
        <v>4.0045766590388367E-3</v>
      </c>
    </row>
    <row r="30" spans="1:20" ht="18" customHeight="1" x14ac:dyDescent="0.3">
      <c r="A30" t="s">
        <v>30</v>
      </c>
      <c r="B30">
        <v>2023</v>
      </c>
      <c r="C30" t="s">
        <v>38</v>
      </c>
      <c r="D30" s="21">
        <f t="shared" ref="D30:P30" si="11">(D14-D13)/D13</f>
        <v>-5.7703404500878666E-4</v>
      </c>
      <c r="E30" s="21">
        <f t="shared" si="11"/>
        <v>2.2232962783953574E-2</v>
      </c>
      <c r="F30" s="21">
        <f t="shared" si="11"/>
        <v>1.8463371054198895E-2</v>
      </c>
      <c r="G30" s="21">
        <f t="shared" si="11"/>
        <v>7.8563411896745549E-3</v>
      </c>
      <c r="H30" s="21">
        <f t="shared" si="11"/>
        <v>-2.913165266106436E-2</v>
      </c>
      <c r="I30" s="21">
        <f t="shared" si="11"/>
        <v>-2.7058146229130622E-2</v>
      </c>
      <c r="J30" s="21">
        <f t="shared" si="11"/>
        <v>4.1316526610644097E-2</v>
      </c>
      <c r="K30" s="21">
        <f t="shared" si="11"/>
        <v>1.2152777777777743E-2</v>
      </c>
      <c r="L30" s="21">
        <f t="shared" si="11"/>
        <v>1.2458471760797342E-2</v>
      </c>
      <c r="M30" s="21">
        <f t="shared" si="11"/>
        <v>2.5522041763341066E-2</v>
      </c>
      <c r="N30" s="21">
        <f t="shared" si="11"/>
        <v>2.8058361391694727E-3</v>
      </c>
      <c r="O30" s="21">
        <f t="shared" si="11"/>
        <v>3.1496062992125685E-3</v>
      </c>
      <c r="P30" s="21">
        <f t="shared" si="11"/>
        <v>7.4074074074074719E-3</v>
      </c>
      <c r="S30" s="16" t="s">
        <v>62</v>
      </c>
      <c r="T30" s="1" t="s">
        <v>136</v>
      </c>
    </row>
    <row r="31" spans="1:20" ht="18" customHeight="1" x14ac:dyDescent="0.3">
      <c r="A31" t="s">
        <v>81</v>
      </c>
      <c r="D31" s="21">
        <f>SUM(D19:D30)</f>
        <v>0.12601803352788893</v>
      </c>
      <c r="E31" s="21">
        <f t="shared" ref="E31:P31" si="12">SUM(E19:E30)</f>
        <v>-1.3415927239515419E-2</v>
      </c>
      <c r="F31" s="21">
        <f t="shared" si="12"/>
        <v>6.9027470519994569E-2</v>
      </c>
      <c r="G31" s="21">
        <f t="shared" si="12"/>
        <v>8.7604842900340665E-2</v>
      </c>
      <c r="H31" s="21">
        <f t="shared" si="12"/>
        <v>-0.18860073732493318</v>
      </c>
      <c r="I31" s="21">
        <f t="shared" si="12"/>
        <v>1.0550729170309782E-2</v>
      </c>
      <c r="J31" s="21">
        <f t="shared" si="12"/>
        <v>-5.9844646584606448E-2</v>
      </c>
      <c r="K31" s="21">
        <f t="shared" si="12"/>
        <v>5.8650424856599249E-2</v>
      </c>
      <c r="L31" s="21">
        <f t="shared" si="12"/>
        <v>2.5192886014239267E-2</v>
      </c>
      <c r="M31" s="21">
        <f t="shared" si="12"/>
        <v>0.17060794533039508</v>
      </c>
      <c r="N31" s="21">
        <f t="shared" si="12"/>
        <v>3.131543042249578E-2</v>
      </c>
      <c r="O31" s="21">
        <f t="shared" si="12"/>
        <v>5.7787078677428043E-2</v>
      </c>
      <c r="P31" s="21">
        <f t="shared" si="12"/>
        <v>3.48329506981448E-2</v>
      </c>
    </row>
    <row r="33" spans="1:19" x14ac:dyDescent="0.3">
      <c r="A33" s="40" t="s">
        <v>0</v>
      </c>
      <c r="B33" s="40" t="s">
        <v>1</v>
      </c>
      <c r="C33" s="40" t="s">
        <v>2</v>
      </c>
      <c r="D33" s="40" t="s">
        <v>3</v>
      </c>
      <c r="E33" s="40" t="s">
        <v>4</v>
      </c>
      <c r="F33" s="40" t="s">
        <v>5</v>
      </c>
      <c r="G33" s="40" t="s">
        <v>6</v>
      </c>
      <c r="H33" s="40" t="s">
        <v>7</v>
      </c>
      <c r="I33" s="40" t="s">
        <v>8</v>
      </c>
      <c r="J33" s="40" t="s">
        <v>9</v>
      </c>
      <c r="K33" s="40" t="s">
        <v>10</v>
      </c>
      <c r="L33" s="40" t="s">
        <v>11</v>
      </c>
      <c r="M33" s="40" t="s">
        <v>12</v>
      </c>
      <c r="N33" s="40" t="s">
        <v>13</v>
      </c>
      <c r="O33" s="40" t="s">
        <v>14</v>
      </c>
      <c r="P33" s="40" t="s">
        <v>15</v>
      </c>
    </row>
    <row r="34" spans="1:19" x14ac:dyDescent="0.3">
      <c r="A34" t="s">
        <v>34</v>
      </c>
      <c r="B34">
        <v>2022</v>
      </c>
      <c r="C34" t="s">
        <v>38</v>
      </c>
      <c r="D34">
        <v>154.1</v>
      </c>
      <c r="E34">
        <v>217</v>
      </c>
      <c r="F34">
        <v>162.4</v>
      </c>
      <c r="G34">
        <v>164.9</v>
      </c>
      <c r="H34">
        <v>202.4</v>
      </c>
      <c r="I34">
        <v>171</v>
      </c>
      <c r="J34">
        <v>174.9</v>
      </c>
      <c r="K34">
        <v>164.7</v>
      </c>
      <c r="L34">
        <v>119.7</v>
      </c>
      <c r="M34">
        <v>184.9</v>
      </c>
      <c r="N34">
        <v>167.1</v>
      </c>
      <c r="O34">
        <v>182.5</v>
      </c>
      <c r="P34">
        <v>173.3</v>
      </c>
    </row>
    <row r="35" spans="1:19" x14ac:dyDescent="0.3">
      <c r="A35" t="s">
        <v>34</v>
      </c>
      <c r="B35">
        <v>2022</v>
      </c>
      <c r="C35" t="s">
        <v>39</v>
      </c>
      <c r="D35">
        <v>155</v>
      </c>
      <c r="E35">
        <v>219.4</v>
      </c>
      <c r="F35">
        <v>170.8</v>
      </c>
      <c r="G35">
        <v>165.8</v>
      </c>
      <c r="H35">
        <v>200.9</v>
      </c>
      <c r="I35">
        <v>169.7</v>
      </c>
      <c r="J35">
        <v>182.3</v>
      </c>
      <c r="K35">
        <v>164.3</v>
      </c>
      <c r="L35">
        <v>119.9</v>
      </c>
      <c r="M35">
        <v>187.1</v>
      </c>
      <c r="N35">
        <v>167.9</v>
      </c>
      <c r="O35">
        <v>183.9</v>
      </c>
      <c r="P35">
        <v>174.9</v>
      </c>
    </row>
    <row r="36" spans="1:19" x14ac:dyDescent="0.3">
      <c r="A36" t="s">
        <v>34</v>
      </c>
      <c r="B36">
        <v>2022</v>
      </c>
      <c r="C36" t="s">
        <v>40</v>
      </c>
      <c r="D36">
        <v>156.5</v>
      </c>
      <c r="E36">
        <v>213</v>
      </c>
      <c r="F36">
        <v>175.2</v>
      </c>
      <c r="G36">
        <v>166.6</v>
      </c>
      <c r="H36">
        <v>195.8</v>
      </c>
      <c r="I36">
        <v>174.2</v>
      </c>
      <c r="J36">
        <v>182.1</v>
      </c>
      <c r="K36">
        <v>164.3</v>
      </c>
      <c r="L36">
        <v>120</v>
      </c>
      <c r="M36">
        <v>190</v>
      </c>
      <c r="N36">
        <v>168.4</v>
      </c>
      <c r="O36">
        <v>185.2</v>
      </c>
      <c r="P36">
        <v>175</v>
      </c>
      <c r="R36" s="47" t="s">
        <v>85</v>
      </c>
      <c r="S36" s="47"/>
    </row>
    <row r="37" spans="1:19" x14ac:dyDescent="0.3">
      <c r="A37" t="s">
        <v>34</v>
      </c>
      <c r="B37">
        <v>2022</v>
      </c>
      <c r="C37" t="s">
        <v>41</v>
      </c>
      <c r="D37">
        <v>160.30000000000001</v>
      </c>
      <c r="E37">
        <v>206.5</v>
      </c>
      <c r="F37">
        <v>169.2</v>
      </c>
      <c r="G37">
        <v>168.1</v>
      </c>
      <c r="H37">
        <v>192.4</v>
      </c>
      <c r="I37">
        <v>172.9</v>
      </c>
      <c r="J37">
        <v>186.7</v>
      </c>
      <c r="K37">
        <v>167.2</v>
      </c>
      <c r="L37">
        <v>120.9</v>
      </c>
      <c r="M37">
        <v>193.6</v>
      </c>
      <c r="N37">
        <v>168.8</v>
      </c>
      <c r="O37">
        <v>186.3</v>
      </c>
      <c r="P37">
        <v>176.3</v>
      </c>
      <c r="R37" t="s">
        <v>83</v>
      </c>
      <c r="S37" t="s">
        <v>81</v>
      </c>
    </row>
    <row r="38" spans="1:19" x14ac:dyDescent="0.3">
      <c r="A38" t="s">
        <v>34</v>
      </c>
      <c r="B38">
        <v>2022</v>
      </c>
      <c r="C38" t="s">
        <v>42</v>
      </c>
      <c r="D38">
        <v>163.5</v>
      </c>
      <c r="E38">
        <v>209.2</v>
      </c>
      <c r="F38">
        <v>169.7</v>
      </c>
      <c r="G38">
        <v>169.7</v>
      </c>
      <c r="H38">
        <v>188.7</v>
      </c>
      <c r="I38">
        <v>165.7</v>
      </c>
      <c r="J38">
        <v>191.8</v>
      </c>
      <c r="K38">
        <v>169.1</v>
      </c>
      <c r="L38">
        <v>121.6</v>
      </c>
      <c r="M38">
        <v>197.3</v>
      </c>
      <c r="N38">
        <v>169.4</v>
      </c>
      <c r="O38">
        <v>187.4</v>
      </c>
      <c r="P38">
        <v>177.8</v>
      </c>
      <c r="R38" t="s">
        <v>3</v>
      </c>
      <c r="S38" s="21">
        <v>0.12085220029035372</v>
      </c>
    </row>
    <row r="39" spans="1:19" x14ac:dyDescent="0.3">
      <c r="A39" t="s">
        <v>34</v>
      </c>
      <c r="B39">
        <v>2022</v>
      </c>
      <c r="C39" t="s">
        <v>43</v>
      </c>
      <c r="D39">
        <v>165.2</v>
      </c>
      <c r="E39">
        <v>210.9</v>
      </c>
      <c r="F39">
        <v>170.9</v>
      </c>
      <c r="G39">
        <v>170.9</v>
      </c>
      <c r="H39">
        <v>186.5</v>
      </c>
      <c r="I39">
        <v>163.80000000000001</v>
      </c>
      <c r="J39">
        <v>199.7</v>
      </c>
      <c r="K39">
        <v>169.8</v>
      </c>
      <c r="L39">
        <v>121.9</v>
      </c>
      <c r="M39">
        <v>199.9</v>
      </c>
      <c r="N39">
        <v>169.9</v>
      </c>
      <c r="O39">
        <v>188.3</v>
      </c>
      <c r="P39">
        <v>179.6</v>
      </c>
      <c r="R39" t="s">
        <v>4</v>
      </c>
      <c r="S39" s="21">
        <v>-1.0960038075584964E-2</v>
      </c>
    </row>
    <row r="40" spans="1:19" x14ac:dyDescent="0.3">
      <c r="A40" t="s">
        <v>34</v>
      </c>
      <c r="B40">
        <v>2022</v>
      </c>
      <c r="C40" t="s">
        <v>45</v>
      </c>
      <c r="D40">
        <v>167.4</v>
      </c>
      <c r="E40">
        <v>209.4</v>
      </c>
      <c r="F40">
        <v>181.4</v>
      </c>
      <c r="G40">
        <v>172.3</v>
      </c>
      <c r="H40">
        <v>188.9</v>
      </c>
      <c r="I40">
        <v>160.69999999999999</v>
      </c>
      <c r="J40">
        <v>183.1</v>
      </c>
      <c r="K40">
        <v>170.5</v>
      </c>
      <c r="L40">
        <v>122.1</v>
      </c>
      <c r="M40">
        <v>202.8</v>
      </c>
      <c r="N40">
        <v>170.4</v>
      </c>
      <c r="O40">
        <v>189.5</v>
      </c>
      <c r="P40">
        <v>178.3</v>
      </c>
      <c r="R40" t="s">
        <v>5</v>
      </c>
      <c r="S40" s="21">
        <v>7.5858020928857975E-2</v>
      </c>
    </row>
    <row r="41" spans="1:19" x14ac:dyDescent="0.3">
      <c r="A41" t="s">
        <v>34</v>
      </c>
      <c r="B41">
        <v>2022</v>
      </c>
      <c r="C41" t="s">
        <v>46</v>
      </c>
      <c r="D41">
        <v>169.2</v>
      </c>
      <c r="E41">
        <v>209</v>
      </c>
      <c r="F41">
        <v>190.2</v>
      </c>
      <c r="G41">
        <v>173.6</v>
      </c>
      <c r="H41">
        <v>188.5</v>
      </c>
      <c r="I41">
        <v>158</v>
      </c>
      <c r="J41">
        <v>159.9</v>
      </c>
      <c r="K41">
        <v>170.8</v>
      </c>
      <c r="L41">
        <v>121.8</v>
      </c>
      <c r="M41">
        <v>205.2</v>
      </c>
      <c r="N41">
        <v>171</v>
      </c>
      <c r="O41">
        <v>190.3</v>
      </c>
      <c r="P41">
        <v>175.9</v>
      </c>
      <c r="R41" t="s">
        <v>6</v>
      </c>
      <c r="S41" s="21">
        <v>8.5207275393248891E-2</v>
      </c>
    </row>
    <row r="42" spans="1:19" x14ac:dyDescent="0.3">
      <c r="A42" t="s">
        <v>34</v>
      </c>
      <c r="B42">
        <v>2023</v>
      </c>
      <c r="C42" t="s">
        <v>31</v>
      </c>
      <c r="D42">
        <v>173.8</v>
      </c>
      <c r="E42">
        <v>210.7</v>
      </c>
      <c r="F42">
        <v>194.5</v>
      </c>
      <c r="G42">
        <v>174.6</v>
      </c>
      <c r="H42">
        <v>187.2</v>
      </c>
      <c r="I42">
        <v>158.30000000000001</v>
      </c>
      <c r="J42">
        <v>153.9</v>
      </c>
      <c r="K42">
        <v>170.9</v>
      </c>
      <c r="L42">
        <v>121.1</v>
      </c>
      <c r="M42">
        <v>208.4</v>
      </c>
      <c r="N42">
        <v>171.4</v>
      </c>
      <c r="O42">
        <v>191.2</v>
      </c>
      <c r="P42">
        <v>176.7</v>
      </c>
      <c r="R42" t="s">
        <v>7</v>
      </c>
      <c r="S42" s="21">
        <v>-0.17196654140370343</v>
      </c>
    </row>
    <row r="43" spans="1:19" x14ac:dyDescent="0.3">
      <c r="A43" t="s">
        <v>34</v>
      </c>
      <c r="B43">
        <v>2023</v>
      </c>
      <c r="C43" t="s">
        <v>35</v>
      </c>
      <c r="D43">
        <v>174.4</v>
      </c>
      <c r="E43">
        <v>207.7</v>
      </c>
      <c r="F43">
        <v>175.2</v>
      </c>
      <c r="G43">
        <v>177.3</v>
      </c>
      <c r="H43">
        <v>179.3</v>
      </c>
      <c r="I43">
        <v>169.5</v>
      </c>
      <c r="J43">
        <v>152.69999999999999</v>
      </c>
      <c r="K43">
        <v>171</v>
      </c>
      <c r="L43">
        <v>120</v>
      </c>
      <c r="M43">
        <v>209.7</v>
      </c>
      <c r="N43">
        <v>172.3</v>
      </c>
      <c r="O43">
        <v>193</v>
      </c>
      <c r="P43">
        <v>177</v>
      </c>
      <c r="R43" t="s">
        <v>8</v>
      </c>
      <c r="S43" s="21">
        <v>1.212892331833881E-2</v>
      </c>
    </row>
    <row r="44" spans="1:19" x14ac:dyDescent="0.3">
      <c r="A44" t="s">
        <v>34</v>
      </c>
      <c r="B44">
        <v>2023</v>
      </c>
      <c r="C44" t="s">
        <v>36</v>
      </c>
      <c r="D44">
        <v>174.4</v>
      </c>
      <c r="E44">
        <v>207.7</v>
      </c>
      <c r="F44">
        <v>175.2</v>
      </c>
      <c r="G44">
        <v>177.3</v>
      </c>
      <c r="H44">
        <v>179.2</v>
      </c>
      <c r="I44">
        <v>169.5</v>
      </c>
      <c r="J44">
        <v>152.80000000000001</v>
      </c>
      <c r="K44">
        <v>171.1</v>
      </c>
      <c r="L44">
        <v>120</v>
      </c>
      <c r="M44">
        <v>209.7</v>
      </c>
      <c r="N44">
        <v>172.3</v>
      </c>
      <c r="O44">
        <v>193</v>
      </c>
      <c r="P44">
        <v>177</v>
      </c>
      <c r="R44" t="s">
        <v>9</v>
      </c>
      <c r="S44" s="21">
        <v>-6.6466572857876549E-2</v>
      </c>
    </row>
    <row r="45" spans="1:19" x14ac:dyDescent="0.3">
      <c r="A45" t="s">
        <v>34</v>
      </c>
      <c r="B45">
        <v>2023</v>
      </c>
      <c r="C45" t="s">
        <v>37</v>
      </c>
      <c r="D45">
        <v>173.8</v>
      </c>
      <c r="E45">
        <v>209.3</v>
      </c>
      <c r="F45">
        <v>169.6</v>
      </c>
      <c r="G45">
        <v>178.4</v>
      </c>
      <c r="H45">
        <v>174.9</v>
      </c>
      <c r="I45">
        <v>176.3</v>
      </c>
      <c r="J45">
        <v>155.4</v>
      </c>
      <c r="K45">
        <v>173.4</v>
      </c>
      <c r="L45">
        <v>121.3</v>
      </c>
      <c r="M45">
        <v>212.9</v>
      </c>
      <c r="N45">
        <v>172.9</v>
      </c>
      <c r="O45">
        <v>193.5</v>
      </c>
      <c r="P45">
        <v>177.9</v>
      </c>
      <c r="R45" t="s">
        <v>10</v>
      </c>
      <c r="S45" s="21">
        <v>6.4492479670082731E-2</v>
      </c>
    </row>
    <row r="46" spans="1:19" x14ac:dyDescent="0.3">
      <c r="A46" t="s">
        <v>34</v>
      </c>
      <c r="B46">
        <v>2023</v>
      </c>
      <c r="C46" t="s">
        <v>38</v>
      </c>
      <c r="D46">
        <v>173.7</v>
      </c>
      <c r="E46">
        <v>214.3</v>
      </c>
      <c r="F46">
        <v>173.2</v>
      </c>
      <c r="G46">
        <v>179.5</v>
      </c>
      <c r="H46">
        <v>170</v>
      </c>
      <c r="I46">
        <v>172.2</v>
      </c>
      <c r="J46">
        <v>161</v>
      </c>
      <c r="K46">
        <v>175.6</v>
      </c>
      <c r="L46">
        <v>122.7</v>
      </c>
      <c r="M46">
        <v>218</v>
      </c>
      <c r="N46">
        <v>173.4</v>
      </c>
      <c r="O46">
        <v>194.2</v>
      </c>
      <c r="P46">
        <v>179.1</v>
      </c>
      <c r="R46" t="s">
        <v>11</v>
      </c>
      <c r="S46" s="21">
        <v>2.4990010110495772E-2</v>
      </c>
    </row>
    <row r="47" spans="1:19" x14ac:dyDescent="0.3">
      <c r="R47" t="s">
        <v>12</v>
      </c>
      <c r="S47" s="21">
        <v>0.16602381892132637</v>
      </c>
    </row>
    <row r="48" spans="1:19" x14ac:dyDescent="0.3">
      <c r="H48" s="49" t="s">
        <v>79</v>
      </c>
      <c r="I48" s="49"/>
      <c r="J48" s="49"/>
      <c r="K48" s="49"/>
      <c r="L48" s="49"/>
      <c r="M48" s="38"/>
      <c r="R48" t="s">
        <v>13</v>
      </c>
      <c r="S48" s="21">
        <v>3.7075142679248593E-2</v>
      </c>
    </row>
    <row r="49" spans="1:24" x14ac:dyDescent="0.3">
      <c r="A49" s="40" t="s">
        <v>0</v>
      </c>
      <c r="B49" s="40" t="s">
        <v>1</v>
      </c>
      <c r="C49" s="40" t="s">
        <v>2</v>
      </c>
      <c r="D49" s="40" t="s">
        <v>3</v>
      </c>
      <c r="E49" s="40" t="s">
        <v>4</v>
      </c>
      <c r="F49" s="40" t="s">
        <v>5</v>
      </c>
      <c r="G49" s="40" t="s">
        <v>6</v>
      </c>
      <c r="H49" s="40" t="s">
        <v>7</v>
      </c>
      <c r="I49" s="40" t="s">
        <v>8</v>
      </c>
      <c r="J49" s="40" t="s">
        <v>9</v>
      </c>
      <c r="K49" s="40" t="s">
        <v>10</v>
      </c>
      <c r="L49" s="40" t="s">
        <v>11</v>
      </c>
      <c r="M49" s="40" t="s">
        <v>12</v>
      </c>
      <c r="N49" s="40" t="s">
        <v>13</v>
      </c>
      <c r="O49" s="40" t="s">
        <v>14</v>
      </c>
      <c r="P49" s="40" t="s">
        <v>15</v>
      </c>
      <c r="R49" t="s">
        <v>14</v>
      </c>
      <c r="S49" s="21">
        <v>6.2333124010194668E-2</v>
      </c>
    </row>
    <row r="50" spans="1:24" x14ac:dyDescent="0.3">
      <c r="A50" t="s">
        <v>34</v>
      </c>
      <c r="B50">
        <v>2022</v>
      </c>
      <c r="C50" t="s">
        <v>38</v>
      </c>
      <c r="R50" t="s">
        <v>15</v>
      </c>
      <c r="S50" s="21">
        <v>3.3242003192595196E-2</v>
      </c>
    </row>
    <row r="51" spans="1:24" x14ac:dyDescent="0.3">
      <c r="A51" t="s">
        <v>34</v>
      </c>
      <c r="B51">
        <v>2022</v>
      </c>
      <c r="C51" t="s">
        <v>39</v>
      </c>
      <c r="D51" s="21">
        <f t="shared" ref="D51:P51" si="13">(D35-D34)/D34</f>
        <v>5.8403634003893947E-3</v>
      </c>
      <c r="E51" s="21">
        <f t="shared" si="13"/>
        <v>1.1059907834101408E-2</v>
      </c>
      <c r="F51" s="21">
        <f t="shared" si="13"/>
        <v>5.1724137931034517E-2</v>
      </c>
      <c r="G51" s="21">
        <f t="shared" si="13"/>
        <v>5.4578532443905741E-3</v>
      </c>
      <c r="H51" s="21">
        <f t="shared" si="13"/>
        <v>-7.411067193675889E-3</v>
      </c>
      <c r="I51" s="21">
        <f t="shared" si="13"/>
        <v>-7.6023391812866164E-3</v>
      </c>
      <c r="J51" s="21">
        <f t="shared" si="13"/>
        <v>4.230989136649517E-2</v>
      </c>
      <c r="K51" s="21">
        <f t="shared" si="13"/>
        <v>-2.4286581663629466E-3</v>
      </c>
      <c r="L51" s="21">
        <f t="shared" si="13"/>
        <v>1.6708437761069578E-3</v>
      </c>
      <c r="M51" s="21">
        <f t="shared" si="13"/>
        <v>1.1898323418063756E-2</v>
      </c>
      <c r="N51" s="21">
        <f t="shared" si="13"/>
        <v>4.7875523638540481E-3</v>
      </c>
      <c r="O51" s="21">
        <f t="shared" si="13"/>
        <v>7.6712328767123599E-3</v>
      </c>
      <c r="P51" s="21">
        <f t="shared" si="13"/>
        <v>9.2325447201384546E-3</v>
      </c>
    </row>
    <row r="52" spans="1:24" x14ac:dyDescent="0.3">
      <c r="A52" t="s">
        <v>34</v>
      </c>
      <c r="B52">
        <v>2022</v>
      </c>
      <c r="C52" t="s">
        <v>40</v>
      </c>
      <c r="D52" s="21">
        <f t="shared" ref="D52:P52" si="14">(D36-D35)/D35</f>
        <v>9.6774193548387101E-3</v>
      </c>
      <c r="E52" s="21">
        <f t="shared" si="14"/>
        <v>-2.9170464904284436E-2</v>
      </c>
      <c r="F52" s="21">
        <f t="shared" si="14"/>
        <v>2.5761124121779725E-2</v>
      </c>
      <c r="G52" s="21">
        <f t="shared" si="14"/>
        <v>4.8250904704462173E-3</v>
      </c>
      <c r="H52" s="21">
        <f t="shared" si="14"/>
        <v>-2.5385764061722219E-2</v>
      </c>
      <c r="I52" s="21">
        <f t="shared" si="14"/>
        <v>2.6517383618149679E-2</v>
      </c>
      <c r="J52" s="21">
        <f t="shared" si="14"/>
        <v>-1.0970927043336097E-3</v>
      </c>
      <c r="K52" s="21">
        <f t="shared" si="14"/>
        <v>0</v>
      </c>
      <c r="L52" s="21">
        <f t="shared" si="14"/>
        <v>8.3402835696408937E-4</v>
      </c>
      <c r="M52" s="21">
        <f t="shared" si="14"/>
        <v>1.5499732763228252E-2</v>
      </c>
      <c r="N52" s="21">
        <f t="shared" si="14"/>
        <v>2.9779630732578916E-3</v>
      </c>
      <c r="O52" s="21">
        <f t="shared" si="14"/>
        <v>7.0690592713430287E-3</v>
      </c>
      <c r="P52" s="21">
        <f t="shared" si="14"/>
        <v>5.7175528873638828E-4</v>
      </c>
    </row>
    <row r="53" spans="1:24" x14ac:dyDescent="0.3">
      <c r="A53" t="s">
        <v>34</v>
      </c>
      <c r="B53">
        <v>2022</v>
      </c>
      <c r="C53" t="s">
        <v>41</v>
      </c>
      <c r="D53" s="21">
        <f t="shared" ref="D53:P53" si="15">(D37-D36)/D36</f>
        <v>2.4281150159744483E-2</v>
      </c>
      <c r="E53" s="21">
        <f t="shared" si="15"/>
        <v>-3.0516431924882629E-2</v>
      </c>
      <c r="F53" s="21">
        <f t="shared" si="15"/>
        <v>-3.4246575342465758E-2</v>
      </c>
      <c r="G53" s="21">
        <f t="shared" si="15"/>
        <v>9.00360144057623E-3</v>
      </c>
      <c r="H53" s="21">
        <f t="shared" si="15"/>
        <v>-1.7364657814096043E-2</v>
      </c>
      <c r="I53" s="21">
        <f t="shared" si="15"/>
        <v>-7.4626865671640818E-3</v>
      </c>
      <c r="J53" s="21">
        <f t="shared" si="15"/>
        <v>2.5260845689181737E-2</v>
      </c>
      <c r="K53" s="21">
        <f t="shared" si="15"/>
        <v>1.7650639074862917E-2</v>
      </c>
      <c r="L53" s="21">
        <f t="shared" si="15"/>
        <v>7.5000000000000474E-3</v>
      </c>
      <c r="M53" s="21">
        <f t="shared" si="15"/>
        <v>1.8947368421052602E-2</v>
      </c>
      <c r="N53" s="21">
        <f t="shared" si="15"/>
        <v>2.3752969121140478E-3</v>
      </c>
      <c r="O53" s="21">
        <f t="shared" si="15"/>
        <v>5.9395248380130824E-3</v>
      </c>
      <c r="P53" s="21">
        <f t="shared" si="15"/>
        <v>7.4285714285714935E-3</v>
      </c>
    </row>
    <row r="54" spans="1:24" x14ac:dyDescent="0.3">
      <c r="A54" t="s">
        <v>34</v>
      </c>
      <c r="B54">
        <v>2022</v>
      </c>
      <c r="C54" t="s">
        <v>42</v>
      </c>
      <c r="D54" s="21">
        <f t="shared" ref="D54:P54" si="16">(D38-D37)/D37</f>
        <v>1.9962570180910719E-2</v>
      </c>
      <c r="E54" s="21">
        <f t="shared" si="16"/>
        <v>1.3075060532687597E-2</v>
      </c>
      <c r="F54" s="21">
        <f t="shared" si="16"/>
        <v>2.9550827423167852E-3</v>
      </c>
      <c r="G54" s="21">
        <f t="shared" si="16"/>
        <v>9.5181439619273899E-3</v>
      </c>
      <c r="H54" s="21">
        <f t="shared" si="16"/>
        <v>-1.9230769230769319E-2</v>
      </c>
      <c r="I54" s="21">
        <f t="shared" si="16"/>
        <v>-4.1642567958357531E-2</v>
      </c>
      <c r="J54" s="21">
        <f t="shared" si="16"/>
        <v>2.7316550615961558E-2</v>
      </c>
      <c r="K54" s="21">
        <f t="shared" si="16"/>
        <v>1.1363636363636399E-2</v>
      </c>
      <c r="L54" s="21">
        <f t="shared" si="16"/>
        <v>5.7899090157153728E-3</v>
      </c>
      <c r="M54" s="21">
        <f t="shared" si="16"/>
        <v>1.9111570247933973E-2</v>
      </c>
      <c r="N54" s="21">
        <f t="shared" si="16"/>
        <v>3.5545023696682125E-3</v>
      </c>
      <c r="O54" s="21">
        <f t="shared" si="16"/>
        <v>5.9044551798174676E-3</v>
      </c>
      <c r="P54" s="21">
        <f t="shared" si="16"/>
        <v>8.5082246171298923E-3</v>
      </c>
      <c r="S54" s="16" t="s">
        <v>62</v>
      </c>
      <c r="T54" s="48" t="s">
        <v>137</v>
      </c>
      <c r="U54" s="48"/>
      <c r="V54" s="48"/>
      <c r="W54" s="48"/>
      <c r="X54" s="48"/>
    </row>
    <row r="55" spans="1:24" x14ac:dyDescent="0.3">
      <c r="A55" t="s">
        <v>34</v>
      </c>
      <c r="B55">
        <v>2022</v>
      </c>
      <c r="C55" t="s">
        <v>43</v>
      </c>
      <c r="D55" s="21">
        <f t="shared" ref="D55:P55" si="17">(D39-D38)/D38</f>
        <v>1.0397553516819502E-2</v>
      </c>
      <c r="E55" s="21">
        <f t="shared" si="17"/>
        <v>8.1261950286807706E-3</v>
      </c>
      <c r="F55" s="21">
        <f t="shared" si="17"/>
        <v>7.0713022981733478E-3</v>
      </c>
      <c r="G55" s="21">
        <f t="shared" si="17"/>
        <v>7.0713022981733478E-3</v>
      </c>
      <c r="H55" s="21">
        <f t="shared" si="17"/>
        <v>-1.1658717541070422E-2</v>
      </c>
      <c r="I55" s="21">
        <f t="shared" si="17"/>
        <v>-1.1466505733252729E-2</v>
      </c>
      <c r="J55" s="21">
        <f t="shared" si="17"/>
        <v>4.118873826903012E-2</v>
      </c>
      <c r="K55" s="21">
        <f t="shared" si="17"/>
        <v>4.1395623891189656E-3</v>
      </c>
      <c r="L55" s="21">
        <f t="shared" si="17"/>
        <v>2.4671052631579883E-3</v>
      </c>
      <c r="M55" s="21">
        <f t="shared" si="17"/>
        <v>1.3177901672579798E-2</v>
      </c>
      <c r="N55" s="21">
        <f t="shared" si="17"/>
        <v>2.9515938606847697E-3</v>
      </c>
      <c r="O55" s="21">
        <f t="shared" si="17"/>
        <v>4.8025613660619302E-3</v>
      </c>
      <c r="P55" s="21">
        <f t="shared" si="17"/>
        <v>1.0123734533183255E-2</v>
      </c>
    </row>
    <row r="56" spans="1:24" x14ac:dyDescent="0.3">
      <c r="A56" t="s">
        <v>34</v>
      </c>
      <c r="B56">
        <v>2022</v>
      </c>
      <c r="C56" t="s">
        <v>45</v>
      </c>
      <c r="D56" s="21">
        <f t="shared" ref="D56:P56" si="18">(D40-D39)/D39</f>
        <v>1.3317191283293082E-2</v>
      </c>
      <c r="E56" s="21">
        <f t="shared" si="18"/>
        <v>-7.1123755334281651E-3</v>
      </c>
      <c r="F56" s="21">
        <f t="shared" si="18"/>
        <v>6.1439438267992974E-2</v>
      </c>
      <c r="G56" s="21">
        <f t="shared" si="18"/>
        <v>8.1919251023990971E-3</v>
      </c>
      <c r="H56" s="21">
        <f t="shared" si="18"/>
        <v>1.286863270777483E-2</v>
      </c>
      <c r="I56" s="21">
        <f t="shared" si="18"/>
        <v>-1.8925518925519063E-2</v>
      </c>
      <c r="J56" s="21">
        <f t="shared" si="18"/>
        <v>-8.3124687030545791E-2</v>
      </c>
      <c r="K56" s="21">
        <f t="shared" si="18"/>
        <v>4.1224970553591792E-3</v>
      </c>
      <c r="L56" s="21">
        <f t="shared" si="18"/>
        <v>1.640689089417462E-3</v>
      </c>
      <c r="M56" s="21">
        <f t="shared" si="18"/>
        <v>1.4507253626813434E-2</v>
      </c>
      <c r="N56" s="21">
        <f t="shared" si="18"/>
        <v>2.942907592701589E-3</v>
      </c>
      <c r="O56" s="21">
        <f t="shared" si="18"/>
        <v>6.3728093467869812E-3</v>
      </c>
      <c r="P56" s="21">
        <f t="shared" si="18"/>
        <v>-7.2383073496658295E-3</v>
      </c>
    </row>
    <row r="57" spans="1:24" x14ac:dyDescent="0.3">
      <c r="A57" t="s">
        <v>34</v>
      </c>
      <c r="B57">
        <v>2022</v>
      </c>
      <c r="C57" t="s">
        <v>46</v>
      </c>
      <c r="D57" s="21">
        <f t="shared" ref="D57:P57" si="19">(D41-D40)/D40</f>
        <v>1.0752688172042909E-2</v>
      </c>
      <c r="E57" s="21">
        <f t="shared" si="19"/>
        <v>-1.9102196752626823E-3</v>
      </c>
      <c r="F57" s="21">
        <f t="shared" si="19"/>
        <v>4.8511576626240255E-2</v>
      </c>
      <c r="G57" s="21">
        <f t="shared" si="19"/>
        <v>7.5449796865930518E-3</v>
      </c>
      <c r="H57" s="21">
        <f t="shared" si="19"/>
        <v>-2.1175224986765785E-3</v>
      </c>
      <c r="I57" s="21">
        <f t="shared" si="19"/>
        <v>-1.6801493466085806E-2</v>
      </c>
      <c r="J57" s="21">
        <f t="shared" si="19"/>
        <v>-0.12670671764063349</v>
      </c>
      <c r="K57" s="21">
        <f t="shared" si="19"/>
        <v>1.7595307917889231E-3</v>
      </c>
      <c r="L57" s="21">
        <f t="shared" si="19"/>
        <v>-2.457002457002434E-3</v>
      </c>
      <c r="M57" s="21">
        <f t="shared" si="19"/>
        <v>1.1834319526627106E-2</v>
      </c>
      <c r="N57" s="21">
        <f t="shared" si="19"/>
        <v>3.521126760563347E-3</v>
      </c>
      <c r="O57" s="21">
        <f t="shared" si="19"/>
        <v>4.2216358839050729E-3</v>
      </c>
      <c r="P57" s="21">
        <f t="shared" si="19"/>
        <v>-1.3460459899046581E-2</v>
      </c>
    </row>
    <row r="58" spans="1:24" x14ac:dyDescent="0.3">
      <c r="A58" t="s">
        <v>34</v>
      </c>
      <c r="B58">
        <v>2023</v>
      </c>
      <c r="C58" t="s">
        <v>31</v>
      </c>
      <c r="D58" s="21">
        <f t="shared" ref="D58:P58" si="20">(D42-D41)/D41</f>
        <v>2.7186761229314557E-2</v>
      </c>
      <c r="E58" s="21">
        <f t="shared" si="20"/>
        <v>8.1339712918659744E-3</v>
      </c>
      <c r="F58" s="21">
        <f t="shared" si="20"/>
        <v>2.2607781282860208E-2</v>
      </c>
      <c r="G58" s="21">
        <f t="shared" si="20"/>
        <v>5.7603686635944703E-3</v>
      </c>
      <c r="H58" s="21">
        <f t="shared" si="20"/>
        <v>-6.8965517241379917E-3</v>
      </c>
      <c r="I58" s="21">
        <f t="shared" si="20"/>
        <v>1.8987341772152618E-3</v>
      </c>
      <c r="J58" s="21">
        <f t="shared" si="20"/>
        <v>-3.7523452157598496E-2</v>
      </c>
      <c r="K58" s="21">
        <f t="shared" si="20"/>
        <v>5.854800936767817E-4</v>
      </c>
      <c r="L58" s="21">
        <f t="shared" si="20"/>
        <v>-5.7471264367816325E-3</v>
      </c>
      <c r="M58" s="21">
        <f t="shared" si="20"/>
        <v>1.5594541910331468E-2</v>
      </c>
      <c r="N58" s="21">
        <f t="shared" si="20"/>
        <v>2.339181286549741E-3</v>
      </c>
      <c r="O58" s="21">
        <f t="shared" si="20"/>
        <v>4.7293746715710832E-3</v>
      </c>
      <c r="P58" s="21">
        <f t="shared" si="20"/>
        <v>4.5480386583284984E-3</v>
      </c>
    </row>
    <row r="59" spans="1:24" x14ac:dyDescent="0.3">
      <c r="A59" t="s">
        <v>34</v>
      </c>
      <c r="B59">
        <v>2023</v>
      </c>
      <c r="C59" t="s">
        <v>35</v>
      </c>
      <c r="D59" s="21">
        <f t="shared" ref="D59:P59" si="21">(D43-D42)/D42</f>
        <v>3.4522439585730398E-3</v>
      </c>
      <c r="E59" s="21">
        <f t="shared" si="21"/>
        <v>-1.423825344091125E-2</v>
      </c>
      <c r="F59" s="21">
        <f t="shared" si="21"/>
        <v>-9.9228791773778982E-2</v>
      </c>
      <c r="G59" s="21">
        <f t="shared" si="21"/>
        <v>1.5463917525773294E-2</v>
      </c>
      <c r="H59" s="21">
        <f t="shared" si="21"/>
        <v>-4.2200854700854579E-2</v>
      </c>
      <c r="I59" s="21">
        <f t="shared" si="21"/>
        <v>7.0751737207833149E-2</v>
      </c>
      <c r="J59" s="21">
        <f t="shared" si="21"/>
        <v>-7.7972709551658026E-3</v>
      </c>
      <c r="K59" s="21">
        <f t="shared" si="21"/>
        <v>5.8513750731418557E-4</v>
      </c>
      <c r="L59" s="21">
        <f t="shared" si="21"/>
        <v>-9.0834021469859156E-3</v>
      </c>
      <c r="M59" s="21">
        <f t="shared" si="21"/>
        <v>6.2380038387715112E-3</v>
      </c>
      <c r="N59" s="21">
        <f t="shared" si="21"/>
        <v>5.2508751458576761E-3</v>
      </c>
      <c r="O59" s="21">
        <f t="shared" si="21"/>
        <v>9.4142259414226534E-3</v>
      </c>
      <c r="P59" s="21">
        <f t="shared" si="21"/>
        <v>1.6977928692700134E-3</v>
      </c>
    </row>
    <row r="60" spans="1:24" x14ac:dyDescent="0.3">
      <c r="A60" t="s">
        <v>34</v>
      </c>
      <c r="B60">
        <v>2023</v>
      </c>
      <c r="C60" t="s">
        <v>36</v>
      </c>
      <c r="D60" s="21">
        <f t="shared" ref="D60:P60" si="22">(D44-D43)/D43</f>
        <v>0</v>
      </c>
      <c r="E60" s="21">
        <f t="shared" si="22"/>
        <v>0</v>
      </c>
      <c r="F60" s="21">
        <f t="shared" si="22"/>
        <v>0</v>
      </c>
      <c r="G60" s="21">
        <f t="shared" si="22"/>
        <v>0</v>
      </c>
      <c r="H60" s="21">
        <f t="shared" si="22"/>
        <v>-5.5772448410497898E-4</v>
      </c>
      <c r="I60" s="21">
        <f t="shared" si="22"/>
        <v>0</v>
      </c>
      <c r="J60" s="21">
        <f t="shared" si="22"/>
        <v>6.5487884741337755E-4</v>
      </c>
      <c r="K60" s="21">
        <f t="shared" si="22"/>
        <v>5.8479532163739363E-4</v>
      </c>
      <c r="L60" s="21">
        <f t="shared" si="22"/>
        <v>0</v>
      </c>
      <c r="M60" s="21">
        <f t="shared" si="22"/>
        <v>0</v>
      </c>
      <c r="N60" s="21">
        <f t="shared" si="22"/>
        <v>0</v>
      </c>
      <c r="O60" s="21">
        <f t="shared" si="22"/>
        <v>0</v>
      </c>
      <c r="P60" s="21">
        <f t="shared" si="22"/>
        <v>0</v>
      </c>
    </row>
    <row r="61" spans="1:24" x14ac:dyDescent="0.3">
      <c r="A61" t="s">
        <v>34</v>
      </c>
      <c r="B61">
        <v>2023</v>
      </c>
      <c r="C61" t="s">
        <v>37</v>
      </c>
      <c r="D61" s="21">
        <f t="shared" ref="D61:P61" si="23">(D45-D44)/D44</f>
        <v>-3.4403669724770315E-3</v>
      </c>
      <c r="E61" s="21">
        <f t="shared" si="23"/>
        <v>7.7034183919115207E-3</v>
      </c>
      <c r="F61" s="21">
        <f t="shared" si="23"/>
        <v>-3.1963470319634674E-2</v>
      </c>
      <c r="G61" s="21">
        <f t="shared" si="23"/>
        <v>6.2041737168640398E-3</v>
      </c>
      <c r="H61" s="21">
        <f t="shared" si="23"/>
        <v>-2.3995535714285622E-2</v>
      </c>
      <c r="I61" s="21">
        <f t="shared" si="23"/>
        <v>4.0117994100295054E-2</v>
      </c>
      <c r="J61" s="21">
        <f t="shared" si="23"/>
        <v>1.7015706806282685E-2</v>
      </c>
      <c r="K61" s="21">
        <f t="shared" si="23"/>
        <v>1.3442431326709593E-2</v>
      </c>
      <c r="L61" s="21">
        <f t="shared" si="23"/>
        <v>1.0833333333333309E-2</v>
      </c>
      <c r="M61" s="21">
        <f t="shared" si="23"/>
        <v>1.5259895088221351E-2</v>
      </c>
      <c r="N61" s="21">
        <f t="shared" si="23"/>
        <v>3.4822983168891135E-3</v>
      </c>
      <c r="O61" s="21">
        <f t="shared" si="23"/>
        <v>2.5906735751295338E-3</v>
      </c>
      <c r="P61" s="21">
        <f t="shared" si="23"/>
        <v>5.0847457627118961E-3</v>
      </c>
    </row>
    <row r="62" spans="1:24" x14ac:dyDescent="0.3">
      <c r="A62" t="s">
        <v>34</v>
      </c>
      <c r="B62">
        <v>2023</v>
      </c>
      <c r="C62" t="s">
        <v>38</v>
      </c>
      <c r="D62" s="21">
        <f t="shared" ref="D62:P62" si="24">(D46-D45)/D45</f>
        <v>-5.7537399309564284E-4</v>
      </c>
      <c r="E62" s="21">
        <f t="shared" si="24"/>
        <v>2.3889154323936932E-2</v>
      </c>
      <c r="F62" s="21">
        <f t="shared" si="24"/>
        <v>2.122641509433959E-2</v>
      </c>
      <c r="G62" s="21">
        <f t="shared" si="24"/>
        <v>6.1659192825111791E-3</v>
      </c>
      <c r="H62" s="21">
        <f t="shared" si="24"/>
        <v>-2.801600914808465E-2</v>
      </c>
      <c r="I62" s="21">
        <f t="shared" si="24"/>
        <v>-2.32558139534885E-2</v>
      </c>
      <c r="J62" s="21">
        <f t="shared" si="24"/>
        <v>3.6036036036036001E-2</v>
      </c>
      <c r="K62" s="21">
        <f t="shared" si="24"/>
        <v>1.2687427912341341E-2</v>
      </c>
      <c r="L62" s="21">
        <f t="shared" si="24"/>
        <v>1.1541632316570533E-2</v>
      </c>
      <c r="M62" s="21">
        <f t="shared" si="24"/>
        <v>2.3954908407703118E-2</v>
      </c>
      <c r="N62" s="21">
        <f t="shared" si="24"/>
        <v>2.8918449971081549E-3</v>
      </c>
      <c r="O62" s="21">
        <f t="shared" si="24"/>
        <v>3.6175710594314658E-3</v>
      </c>
      <c r="P62" s="21">
        <f t="shared" si="24"/>
        <v>6.7453625632377095E-3</v>
      </c>
    </row>
    <row r="63" spans="1:24" x14ac:dyDescent="0.3">
      <c r="A63" t="s">
        <v>81</v>
      </c>
      <c r="D63" s="39">
        <f>SUM(D51:D62)</f>
        <v>0.12085220029035372</v>
      </c>
      <c r="E63" s="39">
        <f t="shared" ref="E63:P63" si="25">SUM(E51:E62)</f>
        <v>-1.0960038075584964E-2</v>
      </c>
      <c r="F63" s="39">
        <f t="shared" si="25"/>
        <v>7.5858020928857975E-2</v>
      </c>
      <c r="G63" s="39">
        <f t="shared" si="25"/>
        <v>8.5207275393248891E-2</v>
      </c>
      <c r="H63" s="39">
        <f t="shared" si="25"/>
        <v>-0.17196654140370343</v>
      </c>
      <c r="I63" s="39">
        <f t="shared" si="25"/>
        <v>1.212892331833881E-2</v>
      </c>
      <c r="J63" s="39">
        <f t="shared" si="25"/>
        <v>-6.6466572857876549E-2</v>
      </c>
      <c r="K63" s="39">
        <f t="shared" si="25"/>
        <v>6.4492479670082731E-2</v>
      </c>
      <c r="L63" s="39">
        <f t="shared" si="25"/>
        <v>2.4990010110495772E-2</v>
      </c>
      <c r="M63" s="39">
        <f t="shared" si="25"/>
        <v>0.16602381892132637</v>
      </c>
      <c r="N63" s="39">
        <f t="shared" si="25"/>
        <v>3.7075142679248593E-2</v>
      </c>
      <c r="O63" s="39">
        <f t="shared" si="25"/>
        <v>6.2333124010194668E-2</v>
      </c>
      <c r="P63" s="39">
        <f t="shared" si="25"/>
        <v>3.3242003192595196E-2</v>
      </c>
    </row>
    <row r="66" spans="1:19" x14ac:dyDescent="0.3">
      <c r="H66" s="49" t="s">
        <v>82</v>
      </c>
      <c r="I66" s="49"/>
      <c r="J66" s="49"/>
      <c r="K66" s="49"/>
      <c r="L66" s="49"/>
    </row>
    <row r="67" spans="1:19" s="37" customFormat="1" x14ac:dyDescent="0.3">
      <c r="A67" s="37" t="s">
        <v>0</v>
      </c>
      <c r="B67" s="37" t="s">
        <v>1</v>
      </c>
      <c r="C67" s="37" t="s">
        <v>2</v>
      </c>
      <c r="D67" s="37" t="s">
        <v>3</v>
      </c>
      <c r="E67" s="37" t="s">
        <v>4</v>
      </c>
      <c r="F67" s="37" t="s">
        <v>5</v>
      </c>
      <c r="G67" s="37" t="s">
        <v>6</v>
      </c>
      <c r="H67" s="37" t="s">
        <v>7</v>
      </c>
      <c r="I67" s="37" t="s">
        <v>8</v>
      </c>
      <c r="J67" s="37" t="s">
        <v>9</v>
      </c>
      <c r="K67" s="37" t="s">
        <v>10</v>
      </c>
      <c r="L67" s="37" t="s">
        <v>11</v>
      </c>
      <c r="M67" s="37" t="s">
        <v>12</v>
      </c>
      <c r="N67" s="37" t="s">
        <v>13</v>
      </c>
      <c r="O67" s="37" t="s">
        <v>14</v>
      </c>
      <c r="P67" s="37" t="s">
        <v>15</v>
      </c>
    </row>
    <row r="68" spans="1:19" x14ac:dyDescent="0.3">
      <c r="A68" t="s">
        <v>33</v>
      </c>
      <c r="B68">
        <v>2022</v>
      </c>
      <c r="C68" t="s">
        <v>38</v>
      </c>
      <c r="D68">
        <v>156.69999999999999</v>
      </c>
      <c r="E68">
        <v>221.2</v>
      </c>
      <c r="F68">
        <v>164.1</v>
      </c>
      <c r="G68">
        <v>165.4</v>
      </c>
      <c r="H68">
        <v>189.5</v>
      </c>
      <c r="I68">
        <v>174.5</v>
      </c>
      <c r="J68">
        <v>203.2</v>
      </c>
      <c r="K68">
        <v>164.1</v>
      </c>
      <c r="L68">
        <v>121.2</v>
      </c>
      <c r="M68">
        <v>181.4</v>
      </c>
      <c r="N68">
        <v>158.5</v>
      </c>
      <c r="O68">
        <v>184.9</v>
      </c>
      <c r="P68">
        <v>177.5</v>
      </c>
    </row>
    <row r="69" spans="1:19" x14ac:dyDescent="0.3">
      <c r="A69" t="s">
        <v>33</v>
      </c>
      <c r="B69">
        <v>2022</v>
      </c>
      <c r="C69" t="s">
        <v>39</v>
      </c>
      <c r="D69">
        <v>157.5</v>
      </c>
      <c r="E69">
        <v>223.4</v>
      </c>
      <c r="F69">
        <v>172.8</v>
      </c>
      <c r="G69">
        <v>166.4</v>
      </c>
      <c r="H69">
        <v>188.6</v>
      </c>
      <c r="I69">
        <v>174.1</v>
      </c>
      <c r="J69">
        <v>211.5</v>
      </c>
      <c r="K69">
        <v>163.6</v>
      </c>
      <c r="L69">
        <v>121.4</v>
      </c>
      <c r="M69">
        <v>183.5</v>
      </c>
      <c r="N69">
        <v>159.1</v>
      </c>
      <c r="O69">
        <v>186.3</v>
      </c>
      <c r="P69">
        <v>179.3</v>
      </c>
    </row>
    <row r="70" spans="1:19" x14ac:dyDescent="0.3">
      <c r="A70" t="s">
        <v>33</v>
      </c>
      <c r="B70">
        <v>2022</v>
      </c>
      <c r="C70" t="s">
        <v>40</v>
      </c>
      <c r="D70">
        <v>159.30000000000001</v>
      </c>
      <c r="E70">
        <v>217.1</v>
      </c>
      <c r="F70">
        <v>176.6</v>
      </c>
      <c r="G70">
        <v>167.1</v>
      </c>
      <c r="H70">
        <v>184.8</v>
      </c>
      <c r="I70">
        <v>179.5</v>
      </c>
      <c r="J70">
        <v>208.5</v>
      </c>
      <c r="K70">
        <v>164</v>
      </c>
      <c r="L70">
        <v>121.5</v>
      </c>
      <c r="M70">
        <v>186.3</v>
      </c>
      <c r="N70">
        <v>159.80000000000001</v>
      </c>
      <c r="O70">
        <v>187.7</v>
      </c>
      <c r="P70">
        <v>179.4</v>
      </c>
    </row>
    <row r="71" spans="1:19" x14ac:dyDescent="0.3">
      <c r="A71" t="s">
        <v>33</v>
      </c>
      <c r="B71">
        <v>2022</v>
      </c>
      <c r="C71" t="s">
        <v>41</v>
      </c>
      <c r="D71">
        <v>162.1</v>
      </c>
      <c r="E71">
        <v>210.9</v>
      </c>
      <c r="F71">
        <v>170.6</v>
      </c>
      <c r="G71">
        <v>168.4</v>
      </c>
      <c r="H71">
        <v>182.5</v>
      </c>
      <c r="I71">
        <v>177.1</v>
      </c>
      <c r="J71">
        <v>213.1</v>
      </c>
      <c r="K71">
        <v>167.3</v>
      </c>
      <c r="L71">
        <v>122.2</v>
      </c>
      <c r="M71">
        <v>189.7</v>
      </c>
      <c r="N71">
        <v>160.5</v>
      </c>
      <c r="O71">
        <v>188.9</v>
      </c>
      <c r="P71">
        <v>180.4</v>
      </c>
    </row>
    <row r="72" spans="1:19" x14ac:dyDescent="0.3">
      <c r="A72" t="s">
        <v>33</v>
      </c>
      <c r="B72">
        <v>2022</v>
      </c>
      <c r="C72" t="s">
        <v>42</v>
      </c>
      <c r="D72">
        <v>164.9</v>
      </c>
      <c r="E72">
        <v>213.7</v>
      </c>
      <c r="F72">
        <v>170.9</v>
      </c>
      <c r="G72">
        <v>170.1</v>
      </c>
      <c r="H72">
        <v>179.3</v>
      </c>
      <c r="I72">
        <v>167.5</v>
      </c>
      <c r="J72">
        <v>220.8</v>
      </c>
      <c r="K72">
        <v>169.2</v>
      </c>
      <c r="L72">
        <v>123.1</v>
      </c>
      <c r="M72">
        <v>193.6</v>
      </c>
      <c r="N72">
        <v>161.1</v>
      </c>
      <c r="O72">
        <v>190.4</v>
      </c>
      <c r="P72">
        <v>181.8</v>
      </c>
      <c r="R72" s="47" t="s">
        <v>86</v>
      </c>
      <c r="S72" s="47"/>
    </row>
    <row r="73" spans="1:19" x14ac:dyDescent="0.3">
      <c r="A73" t="s">
        <v>33</v>
      </c>
      <c r="B73">
        <v>2022</v>
      </c>
      <c r="C73" t="s">
        <v>43</v>
      </c>
      <c r="D73">
        <v>166.4</v>
      </c>
      <c r="E73">
        <v>214.9</v>
      </c>
      <c r="F73">
        <v>171.9</v>
      </c>
      <c r="G73">
        <v>171</v>
      </c>
      <c r="H73">
        <v>177.7</v>
      </c>
      <c r="I73">
        <v>165.7</v>
      </c>
      <c r="J73">
        <v>228.6</v>
      </c>
      <c r="K73">
        <v>169.9</v>
      </c>
      <c r="L73">
        <v>123.4</v>
      </c>
      <c r="M73">
        <v>196.4</v>
      </c>
      <c r="N73">
        <v>161.6</v>
      </c>
      <c r="O73">
        <v>191.5</v>
      </c>
      <c r="P73">
        <v>183.3</v>
      </c>
      <c r="R73" t="s">
        <v>83</v>
      </c>
      <c r="S73" t="s">
        <v>81</v>
      </c>
    </row>
    <row r="74" spans="1:19" x14ac:dyDescent="0.3">
      <c r="A74" t="s">
        <v>33</v>
      </c>
      <c r="B74">
        <v>2022</v>
      </c>
      <c r="C74" t="s">
        <v>45</v>
      </c>
      <c r="D74">
        <v>168.4</v>
      </c>
      <c r="E74">
        <v>213.4</v>
      </c>
      <c r="F74">
        <v>183.2</v>
      </c>
      <c r="G74">
        <v>172.3</v>
      </c>
      <c r="H74">
        <v>180</v>
      </c>
      <c r="I74">
        <v>162.6</v>
      </c>
      <c r="J74">
        <v>205.5</v>
      </c>
      <c r="K74">
        <v>171</v>
      </c>
      <c r="L74">
        <v>123.4</v>
      </c>
      <c r="M74">
        <v>198.8</v>
      </c>
      <c r="N74">
        <v>162.1</v>
      </c>
      <c r="O74">
        <v>192.4</v>
      </c>
      <c r="P74">
        <v>181.3</v>
      </c>
      <c r="R74" t="s">
        <v>3</v>
      </c>
      <c r="S74" s="21">
        <v>0.10948121428393404</v>
      </c>
    </row>
    <row r="75" spans="1:19" x14ac:dyDescent="0.3">
      <c r="A75" t="s">
        <v>33</v>
      </c>
      <c r="B75">
        <v>2022</v>
      </c>
      <c r="C75" t="s">
        <v>46</v>
      </c>
      <c r="D75">
        <v>170.2</v>
      </c>
      <c r="E75">
        <v>212.9</v>
      </c>
      <c r="F75">
        <v>191.9</v>
      </c>
      <c r="G75">
        <v>173.9</v>
      </c>
      <c r="H75">
        <v>179.1</v>
      </c>
      <c r="I75">
        <v>159.5</v>
      </c>
      <c r="J75">
        <v>178.7</v>
      </c>
      <c r="K75">
        <v>171.3</v>
      </c>
      <c r="L75">
        <v>123.1</v>
      </c>
      <c r="M75">
        <v>200.5</v>
      </c>
      <c r="N75">
        <v>162.80000000000001</v>
      </c>
      <c r="O75">
        <v>193.3</v>
      </c>
      <c r="P75">
        <v>178.6</v>
      </c>
      <c r="R75" t="s">
        <v>4</v>
      </c>
      <c r="S75" s="21">
        <v>-6.639897831265909E-3</v>
      </c>
    </row>
    <row r="76" spans="1:19" x14ac:dyDescent="0.3">
      <c r="A76" t="s">
        <v>33</v>
      </c>
      <c r="B76">
        <v>2023</v>
      </c>
      <c r="C76" t="s">
        <v>31</v>
      </c>
      <c r="D76">
        <v>173.3</v>
      </c>
      <c r="E76">
        <v>215.2</v>
      </c>
      <c r="F76">
        <v>197</v>
      </c>
      <c r="G76">
        <v>175.2</v>
      </c>
      <c r="H76">
        <v>178</v>
      </c>
      <c r="I76">
        <v>160.5</v>
      </c>
      <c r="J76">
        <v>175.3</v>
      </c>
      <c r="K76">
        <v>171.2</v>
      </c>
      <c r="L76">
        <v>122.7</v>
      </c>
      <c r="M76">
        <v>204.3</v>
      </c>
      <c r="N76">
        <v>163.69999999999999</v>
      </c>
      <c r="O76">
        <v>194.3</v>
      </c>
      <c r="P76">
        <v>179.5</v>
      </c>
      <c r="R76" t="s">
        <v>5</v>
      </c>
      <c r="S76" s="21">
        <v>8.5789646476304438E-2</v>
      </c>
    </row>
    <row r="77" spans="1:19" x14ac:dyDescent="0.3">
      <c r="A77" t="s">
        <v>33</v>
      </c>
      <c r="B77">
        <v>2023</v>
      </c>
      <c r="C77" t="s">
        <v>35</v>
      </c>
      <c r="D77">
        <v>174.7</v>
      </c>
      <c r="E77">
        <v>212.2</v>
      </c>
      <c r="F77">
        <v>177.2</v>
      </c>
      <c r="G77">
        <v>177.9</v>
      </c>
      <c r="H77">
        <v>172.2</v>
      </c>
      <c r="I77">
        <v>172.1</v>
      </c>
      <c r="J77">
        <v>175.8</v>
      </c>
      <c r="K77">
        <v>172.2</v>
      </c>
      <c r="L77">
        <v>121.9</v>
      </c>
      <c r="M77">
        <v>204.8</v>
      </c>
      <c r="N77">
        <v>164.9</v>
      </c>
      <c r="O77">
        <v>196.6</v>
      </c>
      <c r="P77">
        <v>180.7</v>
      </c>
      <c r="R77" t="s">
        <v>6</v>
      </c>
      <c r="S77" s="21">
        <v>8.1608183959908737E-2</v>
      </c>
    </row>
    <row r="78" spans="1:19" x14ac:dyDescent="0.3">
      <c r="A78" t="s">
        <v>33</v>
      </c>
      <c r="B78">
        <v>2023</v>
      </c>
      <c r="C78" t="s">
        <v>36</v>
      </c>
      <c r="D78">
        <v>174.7</v>
      </c>
      <c r="E78">
        <v>212.2</v>
      </c>
      <c r="F78">
        <v>177.2</v>
      </c>
      <c r="G78">
        <v>177.9</v>
      </c>
      <c r="H78">
        <v>172.2</v>
      </c>
      <c r="I78">
        <v>172.1</v>
      </c>
      <c r="J78">
        <v>175.9</v>
      </c>
      <c r="K78">
        <v>172.2</v>
      </c>
      <c r="L78">
        <v>121.9</v>
      </c>
      <c r="M78">
        <v>204.8</v>
      </c>
      <c r="N78">
        <v>164.9</v>
      </c>
      <c r="O78">
        <v>196.6</v>
      </c>
      <c r="P78">
        <v>180.8</v>
      </c>
      <c r="R78" t="s">
        <v>7</v>
      </c>
      <c r="S78" s="21">
        <v>-0.14039869277175199</v>
      </c>
    </row>
    <row r="79" spans="1:19" x14ac:dyDescent="0.3">
      <c r="A79" t="s">
        <v>33</v>
      </c>
      <c r="B79">
        <v>2023</v>
      </c>
      <c r="C79" t="s">
        <v>37</v>
      </c>
      <c r="D79">
        <v>174.8</v>
      </c>
      <c r="E79">
        <v>213.7</v>
      </c>
      <c r="F79">
        <v>172.4</v>
      </c>
      <c r="G79">
        <v>178.8</v>
      </c>
      <c r="H79">
        <v>168.7</v>
      </c>
      <c r="I79">
        <v>179.2</v>
      </c>
      <c r="J79">
        <v>179.9</v>
      </c>
      <c r="K79">
        <v>174.7</v>
      </c>
      <c r="L79">
        <v>123.1</v>
      </c>
      <c r="M79">
        <v>207.8</v>
      </c>
      <c r="N79">
        <v>165.5</v>
      </c>
      <c r="O79">
        <v>197</v>
      </c>
      <c r="P79">
        <v>182.1</v>
      </c>
      <c r="R79" t="s">
        <v>8</v>
      </c>
      <c r="S79" s="21">
        <v>1.3452894126808595E-2</v>
      </c>
    </row>
    <row r="80" spans="1:19" x14ac:dyDescent="0.3">
      <c r="A80" t="s">
        <v>33</v>
      </c>
      <c r="B80">
        <v>2023</v>
      </c>
      <c r="C80" t="s">
        <v>38</v>
      </c>
      <c r="D80">
        <v>174.7</v>
      </c>
      <c r="E80">
        <v>219.4</v>
      </c>
      <c r="F80">
        <v>176.7</v>
      </c>
      <c r="G80">
        <v>179.4</v>
      </c>
      <c r="H80">
        <v>164.4</v>
      </c>
      <c r="I80">
        <v>175.8</v>
      </c>
      <c r="J80">
        <v>185</v>
      </c>
      <c r="K80">
        <v>176.9</v>
      </c>
      <c r="L80">
        <v>124.2</v>
      </c>
      <c r="M80">
        <v>211.9</v>
      </c>
      <c r="N80">
        <v>165.9</v>
      </c>
      <c r="O80">
        <v>197.7</v>
      </c>
      <c r="P80">
        <v>183.1</v>
      </c>
      <c r="R80" t="s">
        <v>9</v>
      </c>
      <c r="S80" s="21">
        <v>-7.5795670153252434E-2</v>
      </c>
    </row>
    <row r="81" spans="1:23" x14ac:dyDescent="0.3">
      <c r="R81" t="s">
        <v>10</v>
      </c>
      <c r="S81" s="21">
        <v>7.5611128143722547E-2</v>
      </c>
    </row>
    <row r="82" spans="1:23" x14ac:dyDescent="0.3">
      <c r="H82" s="49" t="s">
        <v>80</v>
      </c>
      <c r="I82" s="49"/>
      <c r="J82" s="49"/>
      <c r="K82" s="49"/>
      <c r="L82" s="49"/>
      <c r="R82" t="s">
        <v>11</v>
      </c>
      <c r="S82" s="21">
        <v>2.4616706238015207E-2</v>
      </c>
    </row>
    <row r="83" spans="1:23" x14ac:dyDescent="0.3">
      <c r="A83" s="37" t="s">
        <v>0</v>
      </c>
      <c r="B83" s="37" t="s">
        <v>1</v>
      </c>
      <c r="C83" s="37" t="s">
        <v>2</v>
      </c>
      <c r="D83" s="37" t="s">
        <v>3</v>
      </c>
      <c r="E83" s="37" t="s">
        <v>4</v>
      </c>
      <c r="F83" s="37" t="s">
        <v>5</v>
      </c>
      <c r="G83" s="37" t="s">
        <v>6</v>
      </c>
      <c r="H83" s="37" t="s">
        <v>7</v>
      </c>
      <c r="I83" s="37" t="s">
        <v>8</v>
      </c>
      <c r="J83" s="37" t="s">
        <v>9</v>
      </c>
      <c r="K83" s="37" t="s">
        <v>10</v>
      </c>
      <c r="L83" s="37" t="s">
        <v>11</v>
      </c>
      <c r="M83" s="37" t="s">
        <v>12</v>
      </c>
      <c r="N83" s="37" t="s">
        <v>13</v>
      </c>
      <c r="O83" s="37" t="s">
        <v>14</v>
      </c>
      <c r="P83" s="37" t="s">
        <v>15</v>
      </c>
      <c r="R83" t="s">
        <v>12</v>
      </c>
      <c r="S83" s="21">
        <v>0.1566574174276722</v>
      </c>
    </row>
    <row r="84" spans="1:23" x14ac:dyDescent="0.3">
      <c r="A84" t="s">
        <v>33</v>
      </c>
      <c r="B84">
        <v>2022</v>
      </c>
      <c r="C84" t="s">
        <v>38</v>
      </c>
      <c r="R84" t="s">
        <v>13</v>
      </c>
      <c r="S84" s="21">
        <v>4.5734300024166549E-2</v>
      </c>
    </row>
    <row r="85" spans="1:23" x14ac:dyDescent="0.3">
      <c r="A85" t="s">
        <v>33</v>
      </c>
      <c r="B85">
        <v>2022</v>
      </c>
      <c r="C85" t="s">
        <v>39</v>
      </c>
      <c r="D85" s="21">
        <f>(D69-D68)/D68</f>
        <v>5.105296745373398E-3</v>
      </c>
      <c r="E85" s="21">
        <f t="shared" ref="E85:P85" si="26">(E69-E68)/E68</f>
        <v>9.9457504520796443E-3</v>
      </c>
      <c r="F85" s="21">
        <f t="shared" si="26"/>
        <v>5.3016453382084203E-2</v>
      </c>
      <c r="G85" s="21">
        <f t="shared" si="26"/>
        <v>6.0459492140266021E-3</v>
      </c>
      <c r="H85" s="21">
        <f t="shared" si="26"/>
        <v>-4.74934036939317E-3</v>
      </c>
      <c r="I85" s="21">
        <f t="shared" si="26"/>
        <v>-2.2922636103152186E-3</v>
      </c>
      <c r="J85" s="21">
        <f t="shared" si="26"/>
        <v>4.0846456692913445E-2</v>
      </c>
      <c r="K85" s="21">
        <f t="shared" si="26"/>
        <v>-3.0469226081657527E-3</v>
      </c>
      <c r="L85" s="21">
        <f t="shared" si="26"/>
        <v>1.6501650165016736E-3</v>
      </c>
      <c r="M85" s="21">
        <f t="shared" si="26"/>
        <v>1.1576626240352779E-2</v>
      </c>
      <c r="N85" s="21">
        <f t="shared" si="26"/>
        <v>3.7854889589905003E-3</v>
      </c>
      <c r="O85" s="21">
        <f t="shared" si="26"/>
        <v>7.5716603569497328E-3</v>
      </c>
      <c r="P85" s="21">
        <f t="shared" si="26"/>
        <v>1.0140845070422599E-2</v>
      </c>
      <c r="R85" t="s">
        <v>14</v>
      </c>
      <c r="S85" s="21">
        <v>6.7173674108132769E-2</v>
      </c>
    </row>
    <row r="86" spans="1:23" x14ac:dyDescent="0.3">
      <c r="A86" t="s">
        <v>33</v>
      </c>
      <c r="B86">
        <v>2022</v>
      </c>
      <c r="C86" t="s">
        <v>40</v>
      </c>
      <c r="D86" s="21">
        <f t="shared" ref="D86:P86" si="27">(D70-D69)/D69</f>
        <v>1.1428571428571501E-2</v>
      </c>
      <c r="E86" s="21">
        <f t="shared" si="27"/>
        <v>-2.8200537153088682E-2</v>
      </c>
      <c r="F86" s="21">
        <f t="shared" si="27"/>
        <v>2.1990740740740641E-2</v>
      </c>
      <c r="G86" s="21">
        <f t="shared" si="27"/>
        <v>4.2067307692307005E-3</v>
      </c>
      <c r="H86" s="21">
        <f t="shared" si="27"/>
        <v>-2.014846235418867E-2</v>
      </c>
      <c r="I86" s="21">
        <f t="shared" si="27"/>
        <v>3.1016657093624389E-2</v>
      </c>
      <c r="J86" s="21">
        <f t="shared" si="27"/>
        <v>-1.4184397163120567E-2</v>
      </c>
      <c r="K86" s="21">
        <f t="shared" si="27"/>
        <v>2.4449877750611594E-3</v>
      </c>
      <c r="L86" s="21">
        <f t="shared" si="27"/>
        <v>8.2372322899501083E-4</v>
      </c>
      <c r="M86" s="21">
        <f t="shared" si="27"/>
        <v>1.5258855585831125E-2</v>
      </c>
      <c r="N86" s="21">
        <f t="shared" si="27"/>
        <v>4.3997485857952051E-3</v>
      </c>
      <c r="O86" s="21">
        <f t="shared" si="27"/>
        <v>7.514761137949421E-3</v>
      </c>
      <c r="P86" s="21">
        <f t="shared" si="27"/>
        <v>5.5772448410482047E-4</v>
      </c>
      <c r="R86" t="s">
        <v>15</v>
      </c>
      <c r="S86" s="21">
        <v>3.1440132200929186E-2</v>
      </c>
    </row>
    <row r="87" spans="1:23" x14ac:dyDescent="0.3">
      <c r="A87" t="s">
        <v>33</v>
      </c>
      <c r="B87">
        <v>2022</v>
      </c>
      <c r="C87" t="s">
        <v>41</v>
      </c>
      <c r="D87" s="21">
        <f t="shared" ref="D87:P87" si="28">(D71-D70)/D70</f>
        <v>1.7576898932831028E-2</v>
      </c>
      <c r="E87" s="21">
        <f t="shared" si="28"/>
        <v>-2.8558268079226113E-2</v>
      </c>
      <c r="F87" s="21">
        <f t="shared" si="28"/>
        <v>-3.3975084937712348E-2</v>
      </c>
      <c r="G87" s="21">
        <f t="shared" si="28"/>
        <v>7.7797725912627852E-3</v>
      </c>
      <c r="H87" s="21">
        <f t="shared" si="28"/>
        <v>-1.2445887445887507E-2</v>
      </c>
      <c r="I87" s="21">
        <f t="shared" si="28"/>
        <v>-1.3370473537604488E-2</v>
      </c>
      <c r="J87" s="21">
        <f t="shared" si="28"/>
        <v>2.206235011990405E-2</v>
      </c>
      <c r="K87" s="21">
        <f t="shared" si="28"/>
        <v>2.0121951219512265E-2</v>
      </c>
      <c r="L87" s="21">
        <f t="shared" si="28"/>
        <v>5.7613168724280073E-3</v>
      </c>
      <c r="M87" s="21">
        <f t="shared" si="28"/>
        <v>1.8250134192163054E-2</v>
      </c>
      <c r="N87" s="21">
        <f t="shared" si="28"/>
        <v>4.3804755944930451E-3</v>
      </c>
      <c r="O87" s="21">
        <f t="shared" si="28"/>
        <v>6.3931806073522493E-3</v>
      </c>
      <c r="P87" s="21">
        <f t="shared" si="28"/>
        <v>5.5741360089186171E-3</v>
      </c>
    </row>
    <row r="88" spans="1:23" x14ac:dyDescent="0.3">
      <c r="A88" t="s">
        <v>33</v>
      </c>
      <c r="B88">
        <v>2022</v>
      </c>
      <c r="C88" t="s">
        <v>42</v>
      </c>
      <c r="D88" s="21">
        <f t="shared" ref="D88:P88" si="29">(D72-D71)/D71</f>
        <v>1.7273288093769348E-2</v>
      </c>
      <c r="E88" s="21">
        <f t="shared" si="29"/>
        <v>1.3276434329065827E-2</v>
      </c>
      <c r="F88" s="21">
        <f t="shared" si="29"/>
        <v>1.7584994138335954E-3</v>
      </c>
      <c r="G88" s="21">
        <f t="shared" si="29"/>
        <v>1.0095011876484494E-2</v>
      </c>
      <c r="H88" s="21">
        <f t="shared" si="29"/>
        <v>-1.7534246575342402E-2</v>
      </c>
      <c r="I88" s="21">
        <f t="shared" si="29"/>
        <v>-5.4206662902315045E-2</v>
      </c>
      <c r="J88" s="21">
        <f t="shared" si="29"/>
        <v>3.6133270764899188E-2</v>
      </c>
      <c r="K88" s="21">
        <f t="shared" si="29"/>
        <v>1.1356843992827119E-2</v>
      </c>
      <c r="L88" s="21">
        <f t="shared" si="29"/>
        <v>7.3649754500817628E-3</v>
      </c>
      <c r="M88" s="21">
        <f t="shared" si="29"/>
        <v>2.0558777016341623E-2</v>
      </c>
      <c r="N88" s="21">
        <f t="shared" si="29"/>
        <v>3.7383177570093104E-3</v>
      </c>
      <c r="O88" s="21">
        <f t="shared" si="29"/>
        <v>7.9407093700370572E-3</v>
      </c>
      <c r="P88" s="21">
        <f t="shared" si="29"/>
        <v>7.7605321507760849E-3</v>
      </c>
    </row>
    <row r="89" spans="1:23" x14ac:dyDescent="0.3">
      <c r="A89" t="s">
        <v>33</v>
      </c>
      <c r="B89">
        <v>2022</v>
      </c>
      <c r="C89" t="s">
        <v>43</v>
      </c>
      <c r="D89" s="21">
        <f t="shared" ref="D89:P89" si="30">(D73-D72)/D72</f>
        <v>9.0964220739842318E-3</v>
      </c>
      <c r="E89" s="21">
        <f t="shared" si="30"/>
        <v>5.6153486195602113E-3</v>
      </c>
      <c r="F89" s="21">
        <f t="shared" si="30"/>
        <v>5.8513750731421883E-3</v>
      </c>
      <c r="G89" s="21">
        <f t="shared" si="30"/>
        <v>5.2910052910053245E-3</v>
      </c>
      <c r="H89" s="21">
        <f t="shared" si="30"/>
        <v>-8.9235917456777607E-3</v>
      </c>
      <c r="I89" s="21">
        <f t="shared" si="30"/>
        <v>-1.0746268656716487E-2</v>
      </c>
      <c r="J89" s="21">
        <f t="shared" si="30"/>
        <v>3.532608695652166E-2</v>
      </c>
      <c r="K89" s="21">
        <f t="shared" si="30"/>
        <v>4.1371158392436002E-3</v>
      </c>
      <c r="L89" s="21">
        <f t="shared" si="30"/>
        <v>2.4370430544273874E-3</v>
      </c>
      <c r="M89" s="21">
        <f t="shared" si="30"/>
        <v>1.4462809917355431E-2</v>
      </c>
      <c r="N89" s="21">
        <f t="shared" si="30"/>
        <v>3.1036623215394167E-3</v>
      </c>
      <c r="O89" s="21">
        <f t="shared" si="30"/>
        <v>5.7773109243697178E-3</v>
      </c>
      <c r="P89" s="21">
        <f t="shared" si="30"/>
        <v>8.2508250825082501E-3</v>
      </c>
    </row>
    <row r="90" spans="1:23" x14ac:dyDescent="0.3">
      <c r="A90" t="s">
        <v>33</v>
      </c>
      <c r="B90">
        <v>2022</v>
      </c>
      <c r="C90" t="s">
        <v>45</v>
      </c>
      <c r="D90" s="21">
        <f t="shared" ref="D90:P90" si="31">(D74-D73)/D73</f>
        <v>1.2019230769230768E-2</v>
      </c>
      <c r="E90" s="21">
        <f t="shared" si="31"/>
        <v>-6.9799906933457421E-3</v>
      </c>
      <c r="F90" s="21">
        <f t="shared" si="31"/>
        <v>6.5735892961023751E-2</v>
      </c>
      <c r="G90" s="21">
        <f t="shared" si="31"/>
        <v>7.6023391812866164E-3</v>
      </c>
      <c r="H90" s="21">
        <f t="shared" si="31"/>
        <v>1.2943162633652288E-2</v>
      </c>
      <c r="I90" s="21">
        <f t="shared" si="31"/>
        <v>-1.8708509354254645E-2</v>
      </c>
      <c r="J90" s="21">
        <f t="shared" si="31"/>
        <v>-0.10104986876640418</v>
      </c>
      <c r="K90" s="21">
        <f t="shared" si="31"/>
        <v>6.4743967039434629E-3</v>
      </c>
      <c r="L90" s="21">
        <f t="shared" si="31"/>
        <v>0</v>
      </c>
      <c r="M90" s="21">
        <f t="shared" si="31"/>
        <v>1.2219959266802473E-2</v>
      </c>
      <c r="N90" s="21">
        <f t="shared" si="31"/>
        <v>3.0940594059405942E-3</v>
      </c>
      <c r="O90" s="21">
        <f t="shared" si="31"/>
        <v>4.6997389033942858E-3</v>
      </c>
      <c r="P90" s="21">
        <f t="shared" si="31"/>
        <v>-1.0911074740861974E-2</v>
      </c>
      <c r="S90" s="16" t="s">
        <v>62</v>
      </c>
      <c r="T90" s="48" t="s">
        <v>87</v>
      </c>
      <c r="U90" s="48"/>
      <c r="V90" s="48"/>
      <c r="W90" s="48"/>
    </row>
    <row r="91" spans="1:23" x14ac:dyDescent="0.3">
      <c r="A91" t="s">
        <v>33</v>
      </c>
      <c r="B91">
        <v>2022</v>
      </c>
      <c r="C91" t="s">
        <v>46</v>
      </c>
      <c r="D91" s="21">
        <f t="shared" ref="D91:P91" si="32">(D75-D74)/D74</f>
        <v>1.0688836104512963E-2</v>
      </c>
      <c r="E91" s="21">
        <f t="shared" si="32"/>
        <v>-2.3430178069353325E-3</v>
      </c>
      <c r="F91" s="21">
        <f t="shared" si="32"/>
        <v>4.7489082969432411E-2</v>
      </c>
      <c r="G91" s="21">
        <f t="shared" si="32"/>
        <v>9.286128845037692E-3</v>
      </c>
      <c r="H91" s="21">
        <f t="shared" si="32"/>
        <v>-5.0000000000000313E-3</v>
      </c>
      <c r="I91" s="21">
        <f t="shared" si="32"/>
        <v>-1.9065190651906486E-2</v>
      </c>
      <c r="J91" s="21">
        <f t="shared" si="32"/>
        <v>-0.1304136253041363</v>
      </c>
      <c r="K91" s="21">
        <f t="shared" si="32"/>
        <v>1.7543859649123471E-3</v>
      </c>
      <c r="L91" s="21">
        <f t="shared" si="32"/>
        <v>-2.4311183144247275E-3</v>
      </c>
      <c r="M91" s="21">
        <f t="shared" si="32"/>
        <v>8.5513078470824365E-3</v>
      </c>
      <c r="N91" s="21">
        <f t="shared" si="32"/>
        <v>4.3183220234424245E-3</v>
      </c>
      <c r="O91" s="21">
        <f t="shared" si="32"/>
        <v>4.6777546777547075E-3</v>
      </c>
      <c r="P91" s="21">
        <f t="shared" si="32"/>
        <v>-1.4892443463872128E-2</v>
      </c>
    </row>
    <row r="92" spans="1:23" x14ac:dyDescent="0.3">
      <c r="A92" t="s">
        <v>33</v>
      </c>
      <c r="B92">
        <v>2023</v>
      </c>
      <c r="C92" t="s">
        <v>31</v>
      </c>
      <c r="D92" s="21">
        <f t="shared" ref="D92:P92" si="33">(D76-D75)/D75</f>
        <v>1.821386603995313E-2</v>
      </c>
      <c r="E92" s="21">
        <f t="shared" si="33"/>
        <v>1.0803193987787613E-2</v>
      </c>
      <c r="F92" s="21">
        <f t="shared" si="33"/>
        <v>2.6576341844710756E-2</v>
      </c>
      <c r="G92" s="21">
        <f t="shared" si="33"/>
        <v>7.4755606670499301E-3</v>
      </c>
      <c r="H92" s="21">
        <f t="shared" si="33"/>
        <v>-6.1418202121719398E-3</v>
      </c>
      <c r="I92" s="21">
        <f t="shared" si="33"/>
        <v>6.269592476489028E-3</v>
      </c>
      <c r="J92" s="21">
        <f t="shared" si="33"/>
        <v>-1.9026301063234344E-2</v>
      </c>
      <c r="K92" s="21">
        <f t="shared" si="33"/>
        <v>-5.837711617047445E-4</v>
      </c>
      <c r="L92" s="21">
        <f t="shared" si="33"/>
        <v>-3.2493907392363241E-3</v>
      </c>
      <c r="M92" s="21">
        <f t="shared" si="33"/>
        <v>1.8952618453865394E-2</v>
      </c>
      <c r="N92" s="21">
        <f t="shared" si="33"/>
        <v>5.5282555282553884E-3</v>
      </c>
      <c r="O92" s="21">
        <f t="shared" si="33"/>
        <v>5.1733057423693739E-3</v>
      </c>
      <c r="P92" s="21">
        <f t="shared" si="33"/>
        <v>5.0391937290033915E-3</v>
      </c>
    </row>
    <row r="93" spans="1:23" x14ac:dyDescent="0.3">
      <c r="A93" t="s">
        <v>33</v>
      </c>
      <c r="B93">
        <v>2023</v>
      </c>
      <c r="C93" t="s">
        <v>35</v>
      </c>
      <c r="D93" s="21">
        <f t="shared" ref="D93:P93" si="34">(D77-D76)/D76</f>
        <v>8.078476630121045E-3</v>
      </c>
      <c r="E93" s="21">
        <f t="shared" si="34"/>
        <v>-1.3940520446096656E-2</v>
      </c>
      <c r="F93" s="21">
        <f t="shared" si="34"/>
        <v>-0.10050761421319802</v>
      </c>
      <c r="G93" s="21">
        <f t="shared" si="34"/>
        <v>1.5410958904109687E-2</v>
      </c>
      <c r="H93" s="21">
        <f t="shared" si="34"/>
        <v>-3.2584269662921411E-2</v>
      </c>
      <c r="I93" s="21">
        <f t="shared" si="34"/>
        <v>7.2274143302180655E-2</v>
      </c>
      <c r="J93" s="21">
        <f t="shared" si="34"/>
        <v>2.8522532800912721E-3</v>
      </c>
      <c r="K93" s="21">
        <f t="shared" si="34"/>
        <v>5.8411214953271035E-3</v>
      </c>
      <c r="L93" s="21">
        <f t="shared" si="34"/>
        <v>-6.5199674001629754E-3</v>
      </c>
      <c r="M93" s="21">
        <f t="shared" si="34"/>
        <v>2.4473813020068525E-3</v>
      </c>
      <c r="N93" s="21">
        <f t="shared" si="34"/>
        <v>7.3304825901039528E-3</v>
      </c>
      <c r="O93" s="21">
        <f t="shared" si="34"/>
        <v>1.1837364899639644E-2</v>
      </c>
      <c r="P93" s="21">
        <f t="shared" si="34"/>
        <v>6.6852367688021649E-3</v>
      </c>
    </row>
    <row r="94" spans="1:23" x14ac:dyDescent="0.3">
      <c r="A94" t="s">
        <v>33</v>
      </c>
      <c r="B94">
        <v>2023</v>
      </c>
      <c r="C94" t="s">
        <v>36</v>
      </c>
      <c r="D94" s="21">
        <f t="shared" ref="D94:P94" si="35">(D78-D77)/D77</f>
        <v>0</v>
      </c>
      <c r="E94" s="21">
        <f t="shared" si="35"/>
        <v>0</v>
      </c>
      <c r="F94" s="21">
        <f t="shared" si="35"/>
        <v>0</v>
      </c>
      <c r="G94" s="21">
        <f t="shared" si="35"/>
        <v>0</v>
      </c>
      <c r="H94" s="21">
        <f t="shared" si="35"/>
        <v>0</v>
      </c>
      <c r="I94" s="21">
        <f t="shared" si="35"/>
        <v>0</v>
      </c>
      <c r="J94" s="21">
        <f t="shared" si="35"/>
        <v>5.6882821387937608E-4</v>
      </c>
      <c r="K94" s="21">
        <f t="shared" si="35"/>
        <v>0</v>
      </c>
      <c r="L94" s="21">
        <f t="shared" si="35"/>
        <v>0</v>
      </c>
      <c r="M94" s="21">
        <f t="shared" si="35"/>
        <v>0</v>
      </c>
      <c r="N94" s="21">
        <f t="shared" si="35"/>
        <v>0</v>
      </c>
      <c r="O94" s="21">
        <f t="shared" si="35"/>
        <v>0</v>
      </c>
      <c r="P94" s="21">
        <f t="shared" si="35"/>
        <v>5.5340343110139867E-4</v>
      </c>
    </row>
    <row r="95" spans="1:23" x14ac:dyDescent="0.3">
      <c r="A95" t="s">
        <v>33</v>
      </c>
      <c r="B95">
        <v>2023</v>
      </c>
      <c r="C95" t="s">
        <v>37</v>
      </c>
      <c r="D95" s="21">
        <f t="shared" ref="D95:P95" si="36">(D79-D78)/D78</f>
        <v>5.7240984544947189E-4</v>
      </c>
      <c r="E95" s="21">
        <f t="shared" si="36"/>
        <v>7.068803016022621E-3</v>
      </c>
      <c r="F95" s="21">
        <f t="shared" si="36"/>
        <v>-2.7088036117381396E-2</v>
      </c>
      <c r="G95" s="21">
        <f t="shared" si="36"/>
        <v>5.0590219224283623E-3</v>
      </c>
      <c r="H95" s="21">
        <f t="shared" si="36"/>
        <v>-2.0325203252032523E-2</v>
      </c>
      <c r="I95" s="21">
        <f t="shared" si="36"/>
        <v>4.1255084253341047E-2</v>
      </c>
      <c r="J95" s="21">
        <f t="shared" si="36"/>
        <v>2.2740193291642979E-2</v>
      </c>
      <c r="K95" s="21">
        <f t="shared" si="36"/>
        <v>1.4518002322880372E-2</v>
      </c>
      <c r="L95" s="21">
        <f t="shared" si="36"/>
        <v>9.8441345365052387E-3</v>
      </c>
      <c r="M95" s="21">
        <f t="shared" si="36"/>
        <v>1.46484375E-2</v>
      </c>
      <c r="N95" s="21">
        <f t="shared" si="36"/>
        <v>3.6385688295936585E-3</v>
      </c>
      <c r="O95" s="21">
        <f t="shared" si="36"/>
        <v>2.034587995930853E-3</v>
      </c>
      <c r="P95" s="21">
        <f t="shared" si="36"/>
        <v>7.1902654867255691E-3</v>
      </c>
    </row>
    <row r="96" spans="1:23" x14ac:dyDescent="0.3">
      <c r="A96" t="s">
        <v>33</v>
      </c>
      <c r="B96">
        <v>2023</v>
      </c>
      <c r="C96" t="s">
        <v>38</v>
      </c>
      <c r="D96" s="21">
        <f t="shared" ref="D96:P96" si="37">(D80-D79)/D79</f>
        <v>-5.7208237986283023E-4</v>
      </c>
      <c r="E96" s="21">
        <f t="shared" si="37"/>
        <v>2.6672905942910705E-2</v>
      </c>
      <c r="F96" s="21">
        <f t="shared" si="37"/>
        <v>2.4941995359628672E-2</v>
      </c>
      <c r="G96" s="21">
        <f t="shared" si="37"/>
        <v>3.355704697986545E-3</v>
      </c>
      <c r="H96" s="21">
        <f t="shared" si="37"/>
        <v>-2.5489033787788874E-2</v>
      </c>
      <c r="I96" s="21">
        <f t="shared" si="37"/>
        <v>-1.8973214285714159E-2</v>
      </c>
      <c r="J96" s="21">
        <f t="shared" si="37"/>
        <v>2.8349082823790964E-2</v>
      </c>
      <c r="K96" s="21">
        <f t="shared" si="37"/>
        <v>1.2593016599885617E-2</v>
      </c>
      <c r="L96" s="21">
        <f t="shared" si="37"/>
        <v>8.9358245329001513E-3</v>
      </c>
      <c r="M96" s="21">
        <f t="shared" si="37"/>
        <v>1.9730510105871003E-2</v>
      </c>
      <c r="N96" s="21">
        <f t="shared" si="37"/>
        <v>2.4169184290030554E-3</v>
      </c>
      <c r="O96" s="21">
        <f t="shared" si="37"/>
        <v>3.5532994923857292E-3</v>
      </c>
      <c r="P96" s="21">
        <f t="shared" si="37"/>
        <v>5.4914881933003845E-3</v>
      </c>
    </row>
    <row r="97" spans="1:16" x14ac:dyDescent="0.3">
      <c r="A97" t="s">
        <v>81</v>
      </c>
      <c r="D97" s="39">
        <f>SUM(D85:D96)</f>
        <v>0.10948121428393404</v>
      </c>
      <c r="E97" s="39">
        <f t="shared" ref="E97:P97" si="38">SUM(E85:E96)</f>
        <v>-6.639897831265909E-3</v>
      </c>
      <c r="F97" s="39">
        <f t="shared" si="38"/>
        <v>8.5789646476304438E-2</v>
      </c>
      <c r="G97" s="39">
        <f t="shared" si="38"/>
        <v>8.1608183959908737E-2</v>
      </c>
      <c r="H97" s="39">
        <f t="shared" si="38"/>
        <v>-0.14039869277175199</v>
      </c>
      <c r="I97" s="39">
        <f t="shared" si="38"/>
        <v>1.3452894126808595E-2</v>
      </c>
      <c r="J97" s="39">
        <f t="shared" si="38"/>
        <v>-7.5795670153252434E-2</v>
      </c>
      <c r="K97" s="39">
        <f t="shared" si="38"/>
        <v>7.5611128143722547E-2</v>
      </c>
      <c r="L97" s="39">
        <f t="shared" si="38"/>
        <v>2.4616706238015207E-2</v>
      </c>
      <c r="M97" s="39">
        <f t="shared" si="38"/>
        <v>0.1566574174276722</v>
      </c>
      <c r="N97" s="39">
        <f t="shared" si="38"/>
        <v>4.5734300024166549E-2</v>
      </c>
      <c r="O97" s="39">
        <f t="shared" si="38"/>
        <v>6.7173674108132769E-2</v>
      </c>
      <c r="P97" s="39">
        <f t="shared" si="38"/>
        <v>3.1440132200929186E-2</v>
      </c>
    </row>
    <row r="113" spans="1:16" x14ac:dyDescent="0.3">
      <c r="H113" s="49" t="s">
        <v>80</v>
      </c>
      <c r="I113" s="49"/>
      <c r="J113" s="49"/>
      <c r="K113" s="49"/>
      <c r="L113" s="49"/>
    </row>
    <row r="114" spans="1:16" x14ac:dyDescent="0.3">
      <c r="A114" s="37" t="s">
        <v>0</v>
      </c>
      <c r="B114" s="37" t="s">
        <v>1</v>
      </c>
      <c r="C114" s="37" t="s">
        <v>2</v>
      </c>
      <c r="D114" s="37" t="s">
        <v>3</v>
      </c>
      <c r="E114" s="37" t="s">
        <v>4</v>
      </c>
      <c r="F114" s="37" t="s">
        <v>5</v>
      </c>
      <c r="G114" s="37" t="s">
        <v>6</v>
      </c>
      <c r="H114" s="37" t="s">
        <v>7</v>
      </c>
      <c r="I114" s="37" t="s">
        <v>8</v>
      </c>
      <c r="J114" s="37" t="s">
        <v>9</v>
      </c>
      <c r="K114" s="37" t="s">
        <v>10</v>
      </c>
      <c r="L114" s="37" t="s">
        <v>11</v>
      </c>
      <c r="M114" s="37" t="s">
        <v>12</v>
      </c>
      <c r="N114" s="37" t="s">
        <v>13</v>
      </c>
      <c r="O114" s="37" t="s">
        <v>14</v>
      </c>
      <c r="P114" s="37" t="s">
        <v>15</v>
      </c>
    </row>
    <row r="115" spans="1:16" x14ac:dyDescent="0.3">
      <c r="A115" t="s">
        <v>33</v>
      </c>
      <c r="B115">
        <v>2022</v>
      </c>
      <c r="C115" t="s">
        <v>38</v>
      </c>
    </row>
    <row r="116" spans="1:16" x14ac:dyDescent="0.3">
      <c r="A116" t="s">
        <v>33</v>
      </c>
      <c r="B116">
        <v>2022</v>
      </c>
      <c r="C116" t="s">
        <v>39</v>
      </c>
      <c r="D116" s="21">
        <f t="shared" ref="D116:P116" si="39">(D69-D68)/D68</f>
        <v>5.105296745373398E-3</v>
      </c>
      <c r="E116" s="21">
        <f t="shared" si="39"/>
        <v>9.9457504520796443E-3</v>
      </c>
      <c r="F116" s="21">
        <f t="shared" si="39"/>
        <v>5.3016453382084203E-2</v>
      </c>
      <c r="G116" s="21">
        <f t="shared" si="39"/>
        <v>6.0459492140266021E-3</v>
      </c>
      <c r="H116" s="21">
        <f t="shared" si="39"/>
        <v>-4.74934036939317E-3</v>
      </c>
      <c r="I116" s="21">
        <f t="shared" si="39"/>
        <v>-2.2922636103152186E-3</v>
      </c>
      <c r="J116" s="21">
        <f t="shared" si="39"/>
        <v>4.0846456692913445E-2</v>
      </c>
      <c r="K116" s="21">
        <f t="shared" si="39"/>
        <v>-3.0469226081657527E-3</v>
      </c>
      <c r="L116" s="21">
        <f t="shared" si="39"/>
        <v>1.6501650165016736E-3</v>
      </c>
      <c r="M116" s="21">
        <f t="shared" si="39"/>
        <v>1.1576626240352779E-2</v>
      </c>
      <c r="N116" s="21">
        <f t="shared" si="39"/>
        <v>3.7854889589905003E-3</v>
      </c>
      <c r="O116" s="21">
        <f t="shared" si="39"/>
        <v>7.5716603569497328E-3</v>
      </c>
      <c r="P116" s="21">
        <f t="shared" si="39"/>
        <v>1.0140845070422599E-2</v>
      </c>
    </row>
    <row r="117" spans="1:16" x14ac:dyDescent="0.3">
      <c r="A117" t="s">
        <v>33</v>
      </c>
      <c r="B117">
        <v>2022</v>
      </c>
      <c r="C117" t="s">
        <v>40</v>
      </c>
      <c r="D117" s="21">
        <f t="shared" ref="D117:P117" si="40">(D70-D69)/D69</f>
        <v>1.1428571428571501E-2</v>
      </c>
      <c r="E117" s="21">
        <f t="shared" si="40"/>
        <v>-2.8200537153088682E-2</v>
      </c>
      <c r="F117" s="21">
        <f t="shared" si="40"/>
        <v>2.1990740740740641E-2</v>
      </c>
      <c r="G117" s="21">
        <f t="shared" si="40"/>
        <v>4.2067307692307005E-3</v>
      </c>
      <c r="H117" s="21">
        <f t="shared" si="40"/>
        <v>-2.014846235418867E-2</v>
      </c>
      <c r="I117" s="21">
        <f t="shared" si="40"/>
        <v>3.1016657093624389E-2</v>
      </c>
      <c r="J117" s="21">
        <f t="shared" si="40"/>
        <v>-1.4184397163120567E-2</v>
      </c>
      <c r="K117" s="21">
        <f t="shared" si="40"/>
        <v>2.4449877750611594E-3</v>
      </c>
      <c r="L117" s="21">
        <f t="shared" si="40"/>
        <v>8.2372322899501083E-4</v>
      </c>
      <c r="M117" s="21">
        <f t="shared" si="40"/>
        <v>1.5258855585831125E-2</v>
      </c>
      <c r="N117" s="21">
        <f t="shared" si="40"/>
        <v>4.3997485857952051E-3</v>
      </c>
      <c r="O117" s="21">
        <f t="shared" si="40"/>
        <v>7.514761137949421E-3</v>
      </c>
      <c r="P117" s="21">
        <f t="shared" si="40"/>
        <v>5.5772448410482047E-4</v>
      </c>
    </row>
    <row r="118" spans="1:16" x14ac:dyDescent="0.3">
      <c r="A118" t="s">
        <v>33</v>
      </c>
      <c r="B118">
        <v>2022</v>
      </c>
      <c r="C118" t="s">
        <v>41</v>
      </c>
      <c r="D118" s="21">
        <f t="shared" ref="D118:P118" si="41">(D71-D70)/D70</f>
        <v>1.7576898932831028E-2</v>
      </c>
      <c r="E118" s="21">
        <f t="shared" si="41"/>
        <v>-2.8558268079226113E-2</v>
      </c>
      <c r="F118" s="21">
        <f t="shared" si="41"/>
        <v>-3.3975084937712348E-2</v>
      </c>
      <c r="G118" s="21">
        <f t="shared" si="41"/>
        <v>7.7797725912627852E-3</v>
      </c>
      <c r="H118" s="21">
        <f t="shared" si="41"/>
        <v>-1.2445887445887507E-2</v>
      </c>
      <c r="I118" s="21">
        <f t="shared" si="41"/>
        <v>-1.3370473537604488E-2</v>
      </c>
      <c r="J118" s="21">
        <f t="shared" si="41"/>
        <v>2.206235011990405E-2</v>
      </c>
      <c r="K118" s="21">
        <f t="shared" si="41"/>
        <v>2.0121951219512265E-2</v>
      </c>
      <c r="L118" s="21">
        <f t="shared" si="41"/>
        <v>5.7613168724280073E-3</v>
      </c>
      <c r="M118" s="21">
        <f t="shared" si="41"/>
        <v>1.8250134192163054E-2</v>
      </c>
      <c r="N118" s="21">
        <f t="shared" si="41"/>
        <v>4.3804755944930451E-3</v>
      </c>
      <c r="O118" s="21">
        <f t="shared" si="41"/>
        <v>6.3931806073522493E-3</v>
      </c>
      <c r="P118" s="21">
        <f t="shared" si="41"/>
        <v>5.5741360089186171E-3</v>
      </c>
    </row>
    <row r="119" spans="1:16" x14ac:dyDescent="0.3">
      <c r="A119" t="s">
        <v>33</v>
      </c>
      <c r="B119">
        <v>2022</v>
      </c>
      <c r="C119" t="s">
        <v>42</v>
      </c>
      <c r="D119" s="21">
        <f t="shared" ref="D119:P119" si="42">(D72-D71)/D71</f>
        <v>1.7273288093769348E-2</v>
      </c>
      <c r="E119" s="21">
        <f t="shared" si="42"/>
        <v>1.3276434329065827E-2</v>
      </c>
      <c r="F119" s="21">
        <f t="shared" si="42"/>
        <v>1.7584994138335954E-3</v>
      </c>
      <c r="G119" s="21">
        <f t="shared" si="42"/>
        <v>1.0095011876484494E-2</v>
      </c>
      <c r="H119" s="21">
        <f t="shared" si="42"/>
        <v>-1.7534246575342402E-2</v>
      </c>
      <c r="I119" s="21">
        <f t="shared" si="42"/>
        <v>-5.4206662902315045E-2</v>
      </c>
      <c r="J119" s="21">
        <f t="shared" si="42"/>
        <v>3.6133270764899188E-2</v>
      </c>
      <c r="K119" s="21">
        <f t="shared" si="42"/>
        <v>1.1356843992827119E-2</v>
      </c>
      <c r="L119" s="21">
        <f t="shared" si="42"/>
        <v>7.3649754500817628E-3</v>
      </c>
      <c r="M119" s="21">
        <f t="shared" si="42"/>
        <v>2.0558777016341623E-2</v>
      </c>
      <c r="N119" s="21">
        <f t="shared" si="42"/>
        <v>3.7383177570093104E-3</v>
      </c>
      <c r="O119" s="21">
        <f t="shared" si="42"/>
        <v>7.9407093700370572E-3</v>
      </c>
      <c r="P119" s="21">
        <f t="shared" si="42"/>
        <v>7.7605321507760849E-3</v>
      </c>
    </row>
    <row r="120" spans="1:16" x14ac:dyDescent="0.3">
      <c r="A120" t="s">
        <v>33</v>
      </c>
      <c r="B120">
        <v>2022</v>
      </c>
      <c r="C120" t="s">
        <v>43</v>
      </c>
      <c r="D120" s="21">
        <f t="shared" ref="D120:P120" si="43">(D73-D72)/D72</f>
        <v>9.0964220739842318E-3</v>
      </c>
      <c r="E120" s="21">
        <f t="shared" si="43"/>
        <v>5.6153486195602113E-3</v>
      </c>
      <c r="F120" s="21">
        <f t="shared" si="43"/>
        <v>5.8513750731421883E-3</v>
      </c>
      <c r="G120" s="21">
        <f t="shared" si="43"/>
        <v>5.2910052910053245E-3</v>
      </c>
      <c r="H120" s="21">
        <f t="shared" si="43"/>
        <v>-8.9235917456777607E-3</v>
      </c>
      <c r="I120" s="21">
        <f t="shared" si="43"/>
        <v>-1.0746268656716487E-2</v>
      </c>
      <c r="J120" s="21">
        <f t="shared" si="43"/>
        <v>3.532608695652166E-2</v>
      </c>
      <c r="K120" s="21">
        <f t="shared" si="43"/>
        <v>4.1371158392436002E-3</v>
      </c>
      <c r="L120" s="21">
        <f t="shared" si="43"/>
        <v>2.4370430544273874E-3</v>
      </c>
      <c r="M120" s="21">
        <f t="shared" si="43"/>
        <v>1.4462809917355431E-2</v>
      </c>
      <c r="N120" s="21">
        <f t="shared" si="43"/>
        <v>3.1036623215394167E-3</v>
      </c>
      <c r="O120" s="21">
        <f t="shared" si="43"/>
        <v>5.7773109243697178E-3</v>
      </c>
      <c r="P120" s="21">
        <f t="shared" si="43"/>
        <v>8.2508250825082501E-3</v>
      </c>
    </row>
    <row r="121" spans="1:16" x14ac:dyDescent="0.3">
      <c r="A121" t="s">
        <v>33</v>
      </c>
      <c r="B121">
        <v>2022</v>
      </c>
      <c r="C121" t="s">
        <v>45</v>
      </c>
      <c r="D121" s="21">
        <f t="shared" ref="D121:P121" si="44">(D74-D73)/D73</f>
        <v>1.2019230769230768E-2</v>
      </c>
      <c r="E121" s="21">
        <f t="shared" si="44"/>
        <v>-6.9799906933457421E-3</v>
      </c>
      <c r="F121" s="21">
        <f t="shared" si="44"/>
        <v>6.5735892961023751E-2</v>
      </c>
      <c r="G121" s="21">
        <f t="shared" si="44"/>
        <v>7.6023391812866164E-3</v>
      </c>
      <c r="H121" s="21">
        <f t="shared" si="44"/>
        <v>1.2943162633652288E-2</v>
      </c>
      <c r="I121" s="21">
        <f t="shared" si="44"/>
        <v>-1.8708509354254645E-2</v>
      </c>
      <c r="J121" s="21">
        <f t="shared" si="44"/>
        <v>-0.10104986876640418</v>
      </c>
      <c r="K121" s="21">
        <f t="shared" si="44"/>
        <v>6.4743967039434629E-3</v>
      </c>
      <c r="L121" s="21">
        <f t="shared" si="44"/>
        <v>0</v>
      </c>
      <c r="M121" s="21">
        <f t="shared" si="44"/>
        <v>1.2219959266802473E-2</v>
      </c>
      <c r="N121" s="21">
        <f t="shared" si="44"/>
        <v>3.0940594059405942E-3</v>
      </c>
      <c r="O121" s="21">
        <f t="shared" si="44"/>
        <v>4.6997389033942858E-3</v>
      </c>
      <c r="P121" s="21">
        <f t="shared" si="44"/>
        <v>-1.0911074740861974E-2</v>
      </c>
    </row>
    <row r="122" spans="1:16" x14ac:dyDescent="0.3">
      <c r="A122" t="s">
        <v>33</v>
      </c>
      <c r="B122">
        <v>2022</v>
      </c>
      <c r="C122" t="s">
        <v>46</v>
      </c>
      <c r="D122" s="21">
        <f t="shared" ref="D122:P122" si="45">(D75-D74)/D74</f>
        <v>1.0688836104512963E-2</v>
      </c>
      <c r="E122" s="21">
        <f t="shared" si="45"/>
        <v>-2.3430178069353325E-3</v>
      </c>
      <c r="F122" s="21">
        <f t="shared" si="45"/>
        <v>4.7489082969432411E-2</v>
      </c>
      <c r="G122" s="21">
        <f t="shared" si="45"/>
        <v>9.286128845037692E-3</v>
      </c>
      <c r="H122" s="21">
        <f t="shared" si="45"/>
        <v>-5.0000000000000313E-3</v>
      </c>
      <c r="I122" s="21">
        <f t="shared" si="45"/>
        <v>-1.9065190651906486E-2</v>
      </c>
      <c r="J122" s="21">
        <f t="shared" si="45"/>
        <v>-0.1304136253041363</v>
      </c>
      <c r="K122" s="21">
        <f t="shared" si="45"/>
        <v>1.7543859649123471E-3</v>
      </c>
      <c r="L122" s="21">
        <f t="shared" si="45"/>
        <v>-2.4311183144247275E-3</v>
      </c>
      <c r="M122" s="21">
        <f t="shared" si="45"/>
        <v>8.5513078470824365E-3</v>
      </c>
      <c r="N122" s="21">
        <f t="shared" si="45"/>
        <v>4.3183220234424245E-3</v>
      </c>
      <c r="O122" s="21">
        <f t="shared" si="45"/>
        <v>4.6777546777547075E-3</v>
      </c>
      <c r="P122" s="21">
        <f t="shared" si="45"/>
        <v>-1.4892443463872128E-2</v>
      </c>
    </row>
    <row r="123" spans="1:16" x14ac:dyDescent="0.3">
      <c r="A123" t="s">
        <v>33</v>
      </c>
      <c r="B123">
        <v>2023</v>
      </c>
      <c r="C123" t="s">
        <v>31</v>
      </c>
      <c r="D123" s="21">
        <f t="shared" ref="D123:P123" si="46">(D76-D75)/D75</f>
        <v>1.821386603995313E-2</v>
      </c>
      <c r="E123" s="21">
        <f t="shared" si="46"/>
        <v>1.0803193987787613E-2</v>
      </c>
      <c r="F123" s="21">
        <f t="shared" si="46"/>
        <v>2.6576341844710756E-2</v>
      </c>
      <c r="G123" s="21">
        <f t="shared" si="46"/>
        <v>7.4755606670499301E-3</v>
      </c>
      <c r="H123" s="21">
        <f t="shared" si="46"/>
        <v>-6.1418202121719398E-3</v>
      </c>
      <c r="I123" s="21">
        <f t="shared" si="46"/>
        <v>6.269592476489028E-3</v>
      </c>
      <c r="J123" s="21">
        <f t="shared" si="46"/>
        <v>-1.9026301063234344E-2</v>
      </c>
      <c r="K123" s="21">
        <f t="shared" si="46"/>
        <v>-5.837711617047445E-4</v>
      </c>
      <c r="L123" s="21">
        <f t="shared" si="46"/>
        <v>-3.2493907392363241E-3</v>
      </c>
      <c r="M123" s="21">
        <f t="shared" si="46"/>
        <v>1.8952618453865394E-2</v>
      </c>
      <c r="N123" s="21">
        <f t="shared" si="46"/>
        <v>5.5282555282553884E-3</v>
      </c>
      <c r="O123" s="21">
        <f t="shared" si="46"/>
        <v>5.1733057423693739E-3</v>
      </c>
      <c r="P123" s="21">
        <f t="shared" si="46"/>
        <v>5.0391937290033915E-3</v>
      </c>
    </row>
    <row r="124" spans="1:16" x14ac:dyDescent="0.3">
      <c r="A124" t="s">
        <v>33</v>
      </c>
      <c r="B124">
        <v>2023</v>
      </c>
      <c r="C124" t="s">
        <v>35</v>
      </c>
      <c r="D124" s="21">
        <f t="shared" ref="D124:P124" si="47">(D77-D76)/D76</f>
        <v>8.078476630121045E-3</v>
      </c>
      <c r="E124" s="21">
        <f t="shared" si="47"/>
        <v>-1.3940520446096656E-2</v>
      </c>
      <c r="F124" s="21">
        <f t="shared" si="47"/>
        <v>-0.10050761421319802</v>
      </c>
      <c r="G124" s="21">
        <f t="shared" si="47"/>
        <v>1.5410958904109687E-2</v>
      </c>
      <c r="H124" s="21">
        <f t="shared" si="47"/>
        <v>-3.2584269662921411E-2</v>
      </c>
      <c r="I124" s="21">
        <f t="shared" si="47"/>
        <v>7.2274143302180655E-2</v>
      </c>
      <c r="J124" s="21">
        <f t="shared" si="47"/>
        <v>2.8522532800912721E-3</v>
      </c>
      <c r="K124" s="21">
        <f t="shared" si="47"/>
        <v>5.8411214953271035E-3</v>
      </c>
      <c r="L124" s="21">
        <f t="shared" si="47"/>
        <v>-6.5199674001629754E-3</v>
      </c>
      <c r="M124" s="21">
        <f t="shared" si="47"/>
        <v>2.4473813020068525E-3</v>
      </c>
      <c r="N124" s="21">
        <f t="shared" si="47"/>
        <v>7.3304825901039528E-3</v>
      </c>
      <c r="O124" s="21">
        <f t="shared" si="47"/>
        <v>1.1837364899639644E-2</v>
      </c>
      <c r="P124" s="21">
        <f t="shared" si="47"/>
        <v>6.6852367688021649E-3</v>
      </c>
    </row>
    <row r="125" spans="1:16" x14ac:dyDescent="0.3">
      <c r="A125" t="s">
        <v>33</v>
      </c>
      <c r="B125">
        <v>2023</v>
      </c>
      <c r="C125" t="s">
        <v>36</v>
      </c>
      <c r="D125" s="21">
        <f t="shared" ref="D125:P125" si="48">(D78-D77)/D77</f>
        <v>0</v>
      </c>
      <c r="E125" s="21">
        <f t="shared" si="48"/>
        <v>0</v>
      </c>
      <c r="F125" s="21">
        <f t="shared" si="48"/>
        <v>0</v>
      </c>
      <c r="G125" s="21">
        <f t="shared" si="48"/>
        <v>0</v>
      </c>
      <c r="H125" s="21">
        <f t="shared" si="48"/>
        <v>0</v>
      </c>
      <c r="I125" s="21">
        <f t="shared" si="48"/>
        <v>0</v>
      </c>
      <c r="J125" s="21">
        <f t="shared" si="48"/>
        <v>5.6882821387937608E-4</v>
      </c>
      <c r="K125" s="21">
        <f t="shared" si="48"/>
        <v>0</v>
      </c>
      <c r="L125" s="21">
        <f t="shared" si="48"/>
        <v>0</v>
      </c>
      <c r="M125" s="21">
        <f t="shared" si="48"/>
        <v>0</v>
      </c>
      <c r="N125" s="21">
        <f t="shared" si="48"/>
        <v>0</v>
      </c>
      <c r="O125" s="21">
        <f t="shared" si="48"/>
        <v>0</v>
      </c>
      <c r="P125" s="21">
        <f t="shared" si="48"/>
        <v>5.5340343110139867E-4</v>
      </c>
    </row>
    <row r="126" spans="1:16" x14ac:dyDescent="0.3">
      <c r="A126" t="s">
        <v>33</v>
      </c>
      <c r="B126">
        <v>2023</v>
      </c>
      <c r="C126" t="s">
        <v>37</v>
      </c>
      <c r="D126" s="21">
        <f t="shared" ref="D126:P126" si="49">(D79-D78)/D78</f>
        <v>5.7240984544947189E-4</v>
      </c>
      <c r="E126" s="21">
        <f t="shared" si="49"/>
        <v>7.068803016022621E-3</v>
      </c>
      <c r="F126" s="21">
        <f t="shared" si="49"/>
        <v>-2.7088036117381396E-2</v>
      </c>
      <c r="G126" s="21">
        <f t="shared" si="49"/>
        <v>5.0590219224283623E-3</v>
      </c>
      <c r="H126" s="21">
        <f t="shared" si="49"/>
        <v>-2.0325203252032523E-2</v>
      </c>
      <c r="I126" s="21">
        <f t="shared" si="49"/>
        <v>4.1255084253341047E-2</v>
      </c>
      <c r="J126" s="21">
        <f t="shared" si="49"/>
        <v>2.2740193291642979E-2</v>
      </c>
      <c r="K126" s="21">
        <f t="shared" si="49"/>
        <v>1.4518002322880372E-2</v>
      </c>
      <c r="L126" s="21">
        <f t="shared" si="49"/>
        <v>9.8441345365052387E-3</v>
      </c>
      <c r="M126" s="21">
        <f t="shared" si="49"/>
        <v>1.46484375E-2</v>
      </c>
      <c r="N126" s="21">
        <f t="shared" si="49"/>
        <v>3.6385688295936585E-3</v>
      </c>
      <c r="O126" s="21">
        <f t="shared" si="49"/>
        <v>2.034587995930853E-3</v>
      </c>
      <c r="P126" s="21">
        <f t="shared" si="49"/>
        <v>7.1902654867255691E-3</v>
      </c>
    </row>
    <row r="127" spans="1:16" x14ac:dyDescent="0.3">
      <c r="A127" t="s">
        <v>33</v>
      </c>
      <c r="B127">
        <v>2023</v>
      </c>
      <c r="C127" t="s">
        <v>38</v>
      </c>
      <c r="D127" s="21">
        <f t="shared" ref="D127:P127" si="50">(D80-D79)/D79</f>
        <v>-5.7208237986283023E-4</v>
      </c>
      <c r="E127" s="21">
        <f t="shared" si="50"/>
        <v>2.6672905942910705E-2</v>
      </c>
      <c r="F127" s="21">
        <f t="shared" si="50"/>
        <v>2.4941995359628672E-2</v>
      </c>
      <c r="G127" s="21">
        <f t="shared" si="50"/>
        <v>3.355704697986545E-3</v>
      </c>
      <c r="H127" s="21">
        <f t="shared" si="50"/>
        <v>-2.5489033787788874E-2</v>
      </c>
      <c r="I127" s="21">
        <f t="shared" si="50"/>
        <v>-1.8973214285714159E-2</v>
      </c>
      <c r="J127" s="21">
        <f t="shared" si="50"/>
        <v>2.8349082823790964E-2</v>
      </c>
      <c r="K127" s="21">
        <f t="shared" si="50"/>
        <v>1.2593016599885617E-2</v>
      </c>
      <c r="L127" s="21">
        <f t="shared" si="50"/>
        <v>8.9358245329001513E-3</v>
      </c>
      <c r="M127" s="21">
        <f t="shared" si="50"/>
        <v>1.9730510105871003E-2</v>
      </c>
      <c r="N127" s="21">
        <f t="shared" si="50"/>
        <v>2.4169184290030554E-3</v>
      </c>
      <c r="O127" s="21">
        <f t="shared" si="50"/>
        <v>3.5532994923857292E-3</v>
      </c>
      <c r="P127" s="21">
        <f t="shared" si="50"/>
        <v>5.4914881933003845E-3</v>
      </c>
    </row>
  </sheetData>
  <mergeCells count="10">
    <mergeCell ref="H16:L16"/>
    <mergeCell ref="H48:L48"/>
    <mergeCell ref="H113:L113"/>
    <mergeCell ref="H82:L82"/>
    <mergeCell ref="H66:L66"/>
    <mergeCell ref="T90:W90"/>
    <mergeCell ref="R72:S72"/>
    <mergeCell ref="R36:S36"/>
    <mergeCell ref="R10:S10"/>
    <mergeCell ref="T54:X54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0E6F-C4F6-45B4-9B08-D9EE10481B53}">
  <dimension ref="A1:W98"/>
  <sheetViews>
    <sheetView topLeftCell="A40" zoomScaleNormal="100" workbookViewId="0">
      <selection activeCell="K10" sqref="K10"/>
    </sheetView>
  </sheetViews>
  <sheetFormatPr defaultRowHeight="14.4" x14ac:dyDescent="0.3"/>
  <cols>
    <col min="1" max="1" width="6.44140625" bestFit="1" customWidth="1"/>
    <col min="2" max="2" width="5" bestFit="1" customWidth="1"/>
    <col min="3" max="3" width="9.77734375" bestFit="1" customWidth="1"/>
    <col min="4" max="4" width="5.88671875" bestFit="1" customWidth="1"/>
    <col min="5" max="5" width="7.5546875" bestFit="1" customWidth="1"/>
    <col min="6" max="6" width="16.33203125" bestFit="1" customWidth="1"/>
    <col min="7" max="7" width="9.21875" bestFit="1" customWidth="1"/>
    <col min="10" max="10" width="7.6640625" bestFit="1" customWidth="1"/>
    <col min="11" max="11" width="8.88671875" bestFit="1" customWidth="1"/>
    <col min="12" max="12" width="10.6640625" bestFit="1" customWidth="1"/>
    <col min="13" max="13" width="20.109375" bestFit="1" customWidth="1"/>
    <col min="20" max="20" width="17.33203125" bestFit="1" customWidth="1"/>
    <col min="21" max="21" width="95.6640625" bestFit="1" customWidth="1"/>
  </cols>
  <sheetData>
    <row r="1" spans="1:23" x14ac:dyDescent="0.3">
      <c r="C1" s="1" t="s">
        <v>96</v>
      </c>
    </row>
    <row r="2" spans="1:23" x14ac:dyDescent="0.3">
      <c r="A2" s="1" t="s">
        <v>0</v>
      </c>
      <c r="B2" s="1" t="s">
        <v>1</v>
      </c>
      <c r="C2" s="1" t="s">
        <v>2</v>
      </c>
      <c r="D2" s="1" t="s">
        <v>49</v>
      </c>
      <c r="E2" s="1" t="s">
        <v>54</v>
      </c>
      <c r="F2" s="1" t="s">
        <v>52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t="s">
        <v>30</v>
      </c>
      <c r="B3">
        <v>2018</v>
      </c>
      <c r="C3" t="s">
        <v>36</v>
      </c>
      <c r="D3" s="3">
        <v>137.07692307692307</v>
      </c>
      <c r="E3" s="3">
        <v>136.69999999999999</v>
      </c>
      <c r="F3" s="3">
        <v>134.30000000000001</v>
      </c>
      <c r="P3" s="6"/>
      <c r="Q3" s="6"/>
      <c r="R3" s="6"/>
      <c r="S3" s="6"/>
      <c r="T3" s="6"/>
      <c r="U3" s="6"/>
      <c r="V3" s="6"/>
      <c r="W3" s="6"/>
    </row>
    <row r="4" spans="1:23" x14ac:dyDescent="0.3">
      <c r="A4" t="s">
        <v>30</v>
      </c>
      <c r="B4">
        <v>2018</v>
      </c>
      <c r="C4" t="s">
        <v>37</v>
      </c>
      <c r="D4" s="3">
        <v>136.92307692307693</v>
      </c>
      <c r="E4" s="3">
        <v>137.6</v>
      </c>
      <c r="F4" s="3">
        <v>135.28</v>
      </c>
      <c r="P4" s="21"/>
      <c r="Q4" s="21"/>
      <c r="R4" s="21"/>
      <c r="S4" s="21"/>
      <c r="T4" s="21"/>
      <c r="U4" s="21"/>
      <c r="V4" s="21"/>
      <c r="W4" s="21"/>
    </row>
    <row r="5" spans="1:23" x14ac:dyDescent="0.3">
      <c r="A5" t="s">
        <v>30</v>
      </c>
      <c r="B5">
        <v>2018</v>
      </c>
      <c r="C5" t="s">
        <v>38</v>
      </c>
      <c r="D5" s="3">
        <v>137.1076923076923</v>
      </c>
      <c r="E5" s="3">
        <v>138.4</v>
      </c>
      <c r="F5" s="3">
        <v>136.1</v>
      </c>
      <c r="J5" s="48" t="s">
        <v>93</v>
      </c>
      <c r="K5" s="48"/>
      <c r="L5" s="48"/>
      <c r="M5" s="48"/>
      <c r="P5" s="21"/>
      <c r="Q5" s="21"/>
      <c r="R5" s="21"/>
      <c r="S5" s="21"/>
      <c r="T5" s="21"/>
      <c r="U5" s="21"/>
      <c r="V5" s="21"/>
      <c r="W5" s="21"/>
    </row>
    <row r="6" spans="1:23" x14ac:dyDescent="0.3">
      <c r="A6" t="s">
        <v>30</v>
      </c>
      <c r="B6">
        <v>2018</v>
      </c>
      <c r="C6" t="s">
        <v>39</v>
      </c>
      <c r="D6" s="3">
        <v>137.71538461538461</v>
      </c>
      <c r="E6" s="3">
        <v>138.4</v>
      </c>
      <c r="F6" s="3">
        <v>136.78</v>
      </c>
      <c r="J6" s="1" t="s">
        <v>1</v>
      </c>
      <c r="K6" s="1" t="s">
        <v>49</v>
      </c>
      <c r="L6" s="1" t="s">
        <v>54</v>
      </c>
      <c r="M6" s="1" t="s">
        <v>52</v>
      </c>
      <c r="P6" s="21"/>
      <c r="Q6" s="21"/>
      <c r="R6" s="21"/>
      <c r="S6" s="21"/>
      <c r="T6" s="21"/>
      <c r="U6" s="21"/>
      <c r="V6" s="21"/>
      <c r="W6" s="21"/>
    </row>
    <row r="7" spans="1:23" x14ac:dyDescent="0.3">
      <c r="A7" t="s">
        <v>30</v>
      </c>
      <c r="B7">
        <v>2018</v>
      </c>
      <c r="C7" t="s">
        <v>40</v>
      </c>
      <c r="D7" s="3">
        <v>139.26923076923077</v>
      </c>
      <c r="E7" s="3">
        <v>139</v>
      </c>
      <c r="F7" s="3">
        <v>137.44</v>
      </c>
      <c r="J7" t="s">
        <v>89</v>
      </c>
      <c r="K7" s="41">
        <f>(D14-D3)/D3</f>
        <v>-1.2457912457912182E-2</v>
      </c>
      <c r="L7" s="41">
        <f t="shared" ref="L7:M7" si="0">(E14-E3)/E3</f>
        <v>9.6561814191660697E-2</v>
      </c>
      <c r="M7" s="41">
        <f t="shared" si="0"/>
        <v>4.6760982874162117E-2</v>
      </c>
      <c r="P7" s="21"/>
      <c r="Q7" s="21"/>
      <c r="R7" s="21"/>
      <c r="S7" s="21"/>
      <c r="T7" s="21"/>
      <c r="U7" s="21"/>
      <c r="V7" s="21"/>
      <c r="W7" s="21"/>
    </row>
    <row r="8" spans="1:23" x14ac:dyDescent="0.3">
      <c r="A8" t="s">
        <v>30</v>
      </c>
      <c r="B8">
        <v>2018</v>
      </c>
      <c r="C8" t="s">
        <v>41</v>
      </c>
      <c r="D8" s="3">
        <v>139.90769230769232</v>
      </c>
      <c r="E8" s="3">
        <v>139.4</v>
      </c>
      <c r="F8" s="3">
        <v>137.94</v>
      </c>
      <c r="J8" t="s">
        <v>90</v>
      </c>
      <c r="K8" s="41">
        <f>(D30-D19)/D19</f>
        <v>8.4374290256642864E-2</v>
      </c>
      <c r="L8" s="41">
        <f t="shared" ref="L8:M8" si="1">(E30-E19)/E19</f>
        <v>3.8563829787233925E-2</v>
      </c>
      <c r="M8" s="41">
        <f t="shared" si="1"/>
        <v>4.2323533588978897E-2</v>
      </c>
      <c r="P8" s="21"/>
      <c r="Q8" s="21"/>
      <c r="R8" s="21"/>
      <c r="S8" s="21"/>
      <c r="T8" s="21"/>
      <c r="U8" s="21"/>
      <c r="V8" s="21"/>
      <c r="W8" s="21"/>
    </row>
    <row r="9" spans="1:23" x14ac:dyDescent="0.3">
      <c r="A9" t="s">
        <v>30</v>
      </c>
      <c r="B9">
        <v>2018</v>
      </c>
      <c r="C9" t="s">
        <v>42</v>
      </c>
      <c r="D9" s="3">
        <v>138.44615384615386</v>
      </c>
      <c r="E9" s="3">
        <v>140</v>
      </c>
      <c r="F9" s="3">
        <v>138.97999999999999</v>
      </c>
      <c r="J9" t="s">
        <v>91</v>
      </c>
      <c r="K9" s="41">
        <f>(D45-D34)/D45</f>
        <v>6.4533649335901111E-2</v>
      </c>
      <c r="L9" s="41">
        <f t="shared" ref="L9:M9" si="2">(E45-E34)/E45</f>
        <v>4.6256847230675725E-2</v>
      </c>
      <c r="M9" s="41">
        <f t="shared" si="2"/>
        <v>4.4841886988076819E-2</v>
      </c>
      <c r="P9" s="21"/>
      <c r="Q9" s="21"/>
      <c r="R9" s="21"/>
      <c r="S9" s="21"/>
      <c r="T9" s="21"/>
      <c r="U9" s="21"/>
      <c r="V9" s="21"/>
      <c r="W9" s="21"/>
    </row>
    <row r="10" spans="1:23" x14ac:dyDescent="0.3">
      <c r="A10" t="s">
        <v>30</v>
      </c>
      <c r="B10">
        <v>2018</v>
      </c>
      <c r="C10" t="s">
        <v>43</v>
      </c>
      <c r="D10" s="3">
        <v>137.09230769230768</v>
      </c>
      <c r="E10" s="3">
        <v>144.80000000000001</v>
      </c>
      <c r="F10" s="3">
        <v>140.5</v>
      </c>
      <c r="J10" t="s">
        <v>92</v>
      </c>
      <c r="K10" s="41">
        <f>(D60-D49)/D49</f>
        <v>6.1558967270573084E-2</v>
      </c>
      <c r="L10" s="41">
        <f t="shared" ref="L10:M10" si="3">(E60-E49)/E49</f>
        <v>6.5006075334143487E-2</v>
      </c>
      <c r="M10" s="41">
        <f t="shared" si="3"/>
        <v>6.6364812419145935E-2</v>
      </c>
      <c r="P10" s="21"/>
      <c r="Q10" s="21"/>
      <c r="R10" s="21"/>
      <c r="S10" s="21"/>
      <c r="T10" s="21"/>
      <c r="U10" s="21"/>
      <c r="V10" s="21"/>
      <c r="W10" s="21"/>
    </row>
    <row r="11" spans="1:23" x14ac:dyDescent="0.3">
      <c r="A11" t="s">
        <v>30</v>
      </c>
      <c r="B11">
        <v>2018</v>
      </c>
      <c r="C11" t="s">
        <v>45</v>
      </c>
      <c r="D11" s="3">
        <v>137.49999999999997</v>
      </c>
      <c r="E11" s="3">
        <v>145.4</v>
      </c>
      <c r="F11" s="3">
        <v>140.96</v>
      </c>
      <c r="P11" s="21"/>
      <c r="Q11" s="21"/>
      <c r="R11" s="21"/>
      <c r="S11" s="21"/>
      <c r="T11" s="21"/>
      <c r="U11" s="21"/>
      <c r="V11" s="21"/>
      <c r="W11" s="21"/>
    </row>
    <row r="12" spans="1:23" x14ac:dyDescent="0.3">
      <c r="A12" t="s">
        <v>30</v>
      </c>
      <c r="B12">
        <v>2018</v>
      </c>
      <c r="C12" t="s">
        <v>46</v>
      </c>
      <c r="D12" s="3">
        <v>136.3923076923077</v>
      </c>
      <c r="E12" s="3">
        <v>149.6</v>
      </c>
      <c r="F12" s="3">
        <v>140.78000000000003</v>
      </c>
      <c r="P12" s="21"/>
      <c r="Q12" s="21"/>
      <c r="R12" s="21"/>
      <c r="S12" s="21"/>
      <c r="T12" s="21"/>
      <c r="U12" s="21"/>
      <c r="V12" s="21"/>
      <c r="W12" s="21"/>
    </row>
    <row r="13" spans="1:23" x14ac:dyDescent="0.3">
      <c r="A13" t="s">
        <v>30</v>
      </c>
      <c r="B13">
        <v>2019</v>
      </c>
      <c r="C13" t="s">
        <v>31</v>
      </c>
      <c r="D13" s="3">
        <v>135.35384615384618</v>
      </c>
      <c r="E13" s="3">
        <v>149.6</v>
      </c>
      <c r="F13" s="3">
        <v>140.26</v>
      </c>
      <c r="P13" s="21"/>
      <c r="Q13" s="21"/>
      <c r="R13" s="21"/>
      <c r="S13" s="21"/>
      <c r="T13" s="21"/>
      <c r="U13" s="21"/>
      <c r="V13" s="21"/>
      <c r="W13" s="21"/>
    </row>
    <row r="14" spans="1:23" x14ac:dyDescent="0.3">
      <c r="A14" t="s">
        <v>30</v>
      </c>
      <c r="B14">
        <v>2019</v>
      </c>
      <c r="C14" t="s">
        <v>35</v>
      </c>
      <c r="D14" s="3">
        <v>135.3692307692308</v>
      </c>
      <c r="E14" s="3">
        <v>149.9</v>
      </c>
      <c r="F14" s="3">
        <v>140.57999999999998</v>
      </c>
      <c r="P14" s="21"/>
      <c r="Q14" s="21"/>
      <c r="R14" s="21"/>
      <c r="S14" s="21"/>
      <c r="T14" s="21"/>
      <c r="U14" s="21"/>
      <c r="V14" s="21"/>
      <c r="W14" s="21"/>
    </row>
    <row r="16" spans="1:23" x14ac:dyDescent="0.3">
      <c r="S16" s="16" t="s">
        <v>62</v>
      </c>
      <c r="T16" s="1" t="s">
        <v>49</v>
      </c>
      <c r="U16" s="17" t="s">
        <v>103</v>
      </c>
    </row>
    <row r="17" spans="1:23" x14ac:dyDescent="0.3">
      <c r="C17" s="1" t="s">
        <v>97</v>
      </c>
      <c r="S17" s="16" t="s">
        <v>62</v>
      </c>
      <c r="T17" s="1" t="s">
        <v>54</v>
      </c>
      <c r="U17" s="17" t="s">
        <v>104</v>
      </c>
    </row>
    <row r="18" spans="1:23" x14ac:dyDescent="0.3">
      <c r="A18" s="1" t="s">
        <v>0</v>
      </c>
      <c r="B18" s="1" t="s">
        <v>1</v>
      </c>
      <c r="C18" s="1" t="s">
        <v>2</v>
      </c>
      <c r="D18" s="1" t="s">
        <v>49</v>
      </c>
      <c r="E18" s="1" t="s">
        <v>54</v>
      </c>
      <c r="F18" s="1" t="s">
        <v>52</v>
      </c>
      <c r="S18" s="16" t="s">
        <v>62</v>
      </c>
      <c r="T18" s="1" t="s">
        <v>52</v>
      </c>
      <c r="U18" s="17" t="s">
        <v>105</v>
      </c>
    </row>
    <row r="19" spans="1:23" x14ac:dyDescent="0.3">
      <c r="A19" t="s">
        <v>30</v>
      </c>
      <c r="B19">
        <v>2019</v>
      </c>
      <c r="C19" t="s">
        <v>36</v>
      </c>
      <c r="D19" s="3">
        <v>135.4769230769231</v>
      </c>
      <c r="E19" s="3">
        <v>150.4</v>
      </c>
      <c r="F19" s="3">
        <v>140.82</v>
      </c>
    </row>
    <row r="20" spans="1:23" x14ac:dyDescent="0.3">
      <c r="A20" t="s">
        <v>30</v>
      </c>
      <c r="B20">
        <v>2019</v>
      </c>
      <c r="C20" t="s">
        <v>37</v>
      </c>
      <c r="D20" s="3">
        <v>137.18525641025641</v>
      </c>
      <c r="E20" s="3">
        <v>145.6</v>
      </c>
      <c r="F20" s="3">
        <v>135.85833333333332</v>
      </c>
    </row>
    <row r="21" spans="1:23" x14ac:dyDescent="0.3">
      <c r="A21" t="s">
        <v>30</v>
      </c>
      <c r="B21">
        <v>2019</v>
      </c>
      <c r="C21" t="s">
        <v>38</v>
      </c>
      <c r="D21" s="3">
        <v>137.0846153846154</v>
      </c>
      <c r="E21" s="3">
        <v>151.30000000000001</v>
      </c>
      <c r="F21" s="3">
        <v>141.28</v>
      </c>
    </row>
    <row r="22" spans="1:23" x14ac:dyDescent="0.3">
      <c r="A22" t="s">
        <v>30</v>
      </c>
      <c r="B22">
        <v>2019</v>
      </c>
      <c r="C22" t="s">
        <v>39</v>
      </c>
      <c r="D22" s="3">
        <v>138.78461538461536</v>
      </c>
      <c r="E22" s="3">
        <v>151.69999999999999</v>
      </c>
      <c r="F22" s="3">
        <v>141.76</v>
      </c>
    </row>
    <row r="23" spans="1:23" x14ac:dyDescent="0.3">
      <c r="A23" t="s">
        <v>30</v>
      </c>
      <c r="B23">
        <v>2019</v>
      </c>
      <c r="C23" t="s">
        <v>40</v>
      </c>
      <c r="D23" s="3">
        <v>140.53076923076921</v>
      </c>
      <c r="E23" s="3">
        <v>152.19999999999999</v>
      </c>
      <c r="F23" s="3">
        <v>142.32</v>
      </c>
    </row>
    <row r="24" spans="1:23" x14ac:dyDescent="0.3">
      <c r="A24" t="s">
        <v>30</v>
      </c>
      <c r="B24">
        <v>2019</v>
      </c>
      <c r="C24" t="s">
        <v>41</v>
      </c>
      <c r="D24" s="3">
        <v>141.11538461538464</v>
      </c>
      <c r="E24" s="3">
        <v>152.69999999999999</v>
      </c>
      <c r="F24" s="3">
        <v>142.95999999999998</v>
      </c>
    </row>
    <row r="25" spans="1:23" x14ac:dyDescent="0.3">
      <c r="A25" t="s">
        <v>30</v>
      </c>
      <c r="B25">
        <v>2019</v>
      </c>
      <c r="C25" t="s">
        <v>42</v>
      </c>
      <c r="D25" s="3">
        <v>142.2076923076923</v>
      </c>
      <c r="E25" s="3">
        <v>153.4</v>
      </c>
      <c r="F25" s="3">
        <v>143.46000000000004</v>
      </c>
    </row>
    <row r="26" spans="1:23" x14ac:dyDescent="0.3">
      <c r="A26" t="s">
        <v>30</v>
      </c>
      <c r="B26">
        <v>2019</v>
      </c>
      <c r="C26" t="s">
        <v>43</v>
      </c>
      <c r="D26" s="3">
        <v>144.37692307692305</v>
      </c>
      <c r="E26" s="3">
        <v>153.69999999999999</v>
      </c>
      <c r="F26" s="3">
        <v>143.80000000000001</v>
      </c>
    </row>
    <row r="27" spans="1:23" x14ac:dyDescent="0.3">
      <c r="A27" t="s">
        <v>30</v>
      </c>
      <c r="B27">
        <v>2019</v>
      </c>
      <c r="C27" t="s">
        <v>45</v>
      </c>
      <c r="D27" s="3">
        <v>146.50769230769231</v>
      </c>
      <c r="E27" s="3">
        <v>154.30000000000001</v>
      </c>
      <c r="F27" s="3">
        <v>144.22</v>
      </c>
    </row>
    <row r="28" spans="1:23" x14ac:dyDescent="0.3">
      <c r="A28" t="s">
        <v>30</v>
      </c>
      <c r="B28">
        <v>2019</v>
      </c>
      <c r="C28" t="s">
        <v>46</v>
      </c>
      <c r="D28" s="3">
        <v>149.30769230769226</v>
      </c>
      <c r="E28" s="3">
        <v>154.80000000000001</v>
      </c>
      <c r="F28" s="3">
        <v>145.24</v>
      </c>
    </row>
    <row r="29" spans="1:23" x14ac:dyDescent="0.3">
      <c r="A29" t="s">
        <v>30</v>
      </c>
      <c r="B29">
        <v>2020</v>
      </c>
      <c r="C29" t="s">
        <v>31</v>
      </c>
      <c r="D29" s="3">
        <v>149.12307692307692</v>
      </c>
      <c r="E29" s="3">
        <v>155.69999999999999</v>
      </c>
      <c r="F29" s="3">
        <v>146.19999999999999</v>
      </c>
    </row>
    <row r="30" spans="1:23" x14ac:dyDescent="0.3">
      <c r="A30" t="s">
        <v>30</v>
      </c>
      <c r="B30">
        <v>2020</v>
      </c>
      <c r="C30" t="s">
        <v>35</v>
      </c>
      <c r="D30" s="3">
        <v>146.90769230769229</v>
      </c>
      <c r="E30" s="3">
        <v>156.19999999999999</v>
      </c>
      <c r="F30" s="3">
        <v>146.78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P31" s="6"/>
      <c r="Q31" s="6"/>
      <c r="R31" s="6"/>
      <c r="S31" s="6"/>
      <c r="T31" s="6"/>
      <c r="U31" s="6"/>
      <c r="V31" s="6"/>
      <c r="W31" s="6"/>
    </row>
    <row r="32" spans="1:23" x14ac:dyDescent="0.3">
      <c r="C32" s="1" t="s">
        <v>98</v>
      </c>
      <c r="P32" s="21"/>
      <c r="Q32" s="21"/>
      <c r="R32" s="21"/>
      <c r="S32" s="21"/>
      <c r="T32" s="21"/>
      <c r="U32" s="21"/>
      <c r="V32" s="21"/>
      <c r="W32" s="21"/>
    </row>
    <row r="33" spans="1:23" x14ac:dyDescent="0.3">
      <c r="A33" s="1" t="s">
        <v>0</v>
      </c>
      <c r="B33" s="1" t="s">
        <v>1</v>
      </c>
      <c r="C33" s="1" t="s">
        <v>2</v>
      </c>
      <c r="D33" s="1" t="s">
        <v>49</v>
      </c>
      <c r="E33" s="1" t="s">
        <v>54</v>
      </c>
      <c r="F33" s="1" t="s">
        <v>52</v>
      </c>
      <c r="P33" s="21"/>
      <c r="Q33" s="21"/>
      <c r="R33" s="21"/>
      <c r="S33" s="21"/>
      <c r="T33" s="21"/>
      <c r="U33" s="21"/>
      <c r="V33" s="21"/>
      <c r="W33" s="21"/>
    </row>
    <row r="34" spans="1:23" x14ac:dyDescent="0.3">
      <c r="A34" t="s">
        <v>30</v>
      </c>
      <c r="B34">
        <v>2020</v>
      </c>
      <c r="C34" t="s">
        <v>36</v>
      </c>
      <c r="D34" s="3">
        <v>145.73846153846151</v>
      </c>
      <c r="E34" s="3">
        <v>156.69999999999999</v>
      </c>
      <c r="F34" s="3">
        <v>147.4</v>
      </c>
      <c r="P34" s="21"/>
      <c r="Q34" s="21"/>
      <c r="R34" s="21"/>
      <c r="S34" s="21"/>
      <c r="T34" s="21"/>
      <c r="U34" s="21"/>
      <c r="V34" s="21"/>
      <c r="W34" s="21"/>
    </row>
    <row r="35" spans="1:23" x14ac:dyDescent="0.3">
      <c r="A35" t="s">
        <v>30</v>
      </c>
      <c r="B35">
        <v>2020</v>
      </c>
      <c r="C35" t="s">
        <v>37</v>
      </c>
      <c r="D35" s="3">
        <v>150.43653846153845</v>
      </c>
      <c r="E35" s="3">
        <v>154.30000000000001</v>
      </c>
      <c r="F35" s="3">
        <v>144.33833333333334</v>
      </c>
      <c r="P35" s="21"/>
      <c r="Q35" s="21"/>
      <c r="R35" s="21"/>
      <c r="S35" s="21"/>
      <c r="T35" s="21"/>
      <c r="U35" s="21"/>
      <c r="V35" s="21"/>
      <c r="W35" s="21"/>
    </row>
    <row r="36" spans="1:23" x14ac:dyDescent="0.3">
      <c r="A36" t="s">
        <v>30</v>
      </c>
      <c r="B36">
        <v>2020</v>
      </c>
      <c r="C36" t="s">
        <v>38</v>
      </c>
      <c r="D36" s="3">
        <v>150.07618745548436</v>
      </c>
      <c r="E36" s="3">
        <v>152.25</v>
      </c>
      <c r="F36" s="3">
        <v>144.14999903549383</v>
      </c>
      <c r="P36" s="21"/>
      <c r="Q36" s="21"/>
      <c r="R36" s="21"/>
      <c r="S36" s="21"/>
      <c r="T36" s="21"/>
      <c r="U36" s="21"/>
      <c r="V36" s="21"/>
      <c r="W36" s="21"/>
    </row>
    <row r="37" spans="1:23" x14ac:dyDescent="0.3">
      <c r="A37" t="s">
        <v>30</v>
      </c>
      <c r="B37">
        <v>2020</v>
      </c>
      <c r="C37" t="s">
        <v>39</v>
      </c>
      <c r="D37" s="3">
        <v>150.07692307692307</v>
      </c>
      <c r="E37" s="3">
        <v>158.19999999999999</v>
      </c>
      <c r="F37" s="3">
        <v>148.48000000000002</v>
      </c>
      <c r="P37" s="21"/>
      <c r="Q37" s="21"/>
      <c r="R37" s="21"/>
      <c r="S37" s="21"/>
      <c r="T37" s="21"/>
      <c r="U37" s="21"/>
      <c r="V37" s="21"/>
      <c r="W37" s="21"/>
    </row>
    <row r="38" spans="1:23" x14ac:dyDescent="0.3">
      <c r="A38" t="s">
        <v>30</v>
      </c>
      <c r="B38">
        <v>2020</v>
      </c>
      <c r="C38" t="s">
        <v>40</v>
      </c>
      <c r="D38" s="3">
        <v>150.07692307692307</v>
      </c>
      <c r="E38" s="3">
        <v>158.19999999999999</v>
      </c>
      <c r="F38" s="3">
        <v>148.48000000000002</v>
      </c>
      <c r="P38" s="21"/>
      <c r="Q38" s="21"/>
      <c r="R38" s="21"/>
      <c r="S38" s="21"/>
      <c r="T38" s="21"/>
      <c r="U38" s="21"/>
      <c r="V38" s="21"/>
      <c r="W38" s="21"/>
    </row>
    <row r="39" spans="1:23" x14ac:dyDescent="0.3">
      <c r="A39" t="s">
        <v>30</v>
      </c>
      <c r="B39">
        <v>2020</v>
      </c>
      <c r="C39" t="s">
        <v>41</v>
      </c>
      <c r="D39" s="3">
        <v>152.19999999999999</v>
      </c>
      <c r="E39" s="3">
        <v>158.80000000000001</v>
      </c>
      <c r="F39" s="3">
        <v>149.42000000000002</v>
      </c>
      <c r="P39" s="21"/>
      <c r="Q39" s="21"/>
      <c r="R39" s="21"/>
      <c r="S39" s="21"/>
      <c r="T39" s="21"/>
      <c r="U39" s="21"/>
      <c r="V39" s="21"/>
      <c r="W39" s="21"/>
    </row>
    <row r="40" spans="1:23" x14ac:dyDescent="0.3">
      <c r="A40" t="s">
        <v>30</v>
      </c>
      <c r="B40">
        <v>2020</v>
      </c>
      <c r="C40" t="s">
        <v>42</v>
      </c>
      <c r="D40" s="3">
        <v>152.87692307692308</v>
      </c>
      <c r="E40" s="3">
        <v>159.1</v>
      </c>
      <c r="F40" s="3">
        <v>150.56</v>
      </c>
      <c r="P40" s="21"/>
      <c r="Q40" s="21"/>
      <c r="R40" s="21"/>
      <c r="S40" s="21"/>
      <c r="T40" s="21"/>
      <c r="U40" s="21"/>
      <c r="V40" s="21"/>
      <c r="W40" s="21"/>
    </row>
    <row r="41" spans="1:23" x14ac:dyDescent="0.3">
      <c r="A41" t="s">
        <v>30</v>
      </c>
      <c r="B41">
        <v>2020</v>
      </c>
      <c r="C41" t="s">
        <v>43</v>
      </c>
      <c r="D41" s="3">
        <v>156.22307692307692</v>
      </c>
      <c r="E41" s="3">
        <v>159.5</v>
      </c>
      <c r="F41" s="3">
        <v>150.76</v>
      </c>
      <c r="P41" s="21"/>
      <c r="Q41" s="21"/>
      <c r="R41" s="21"/>
      <c r="S41" s="21"/>
      <c r="T41" s="21"/>
      <c r="U41" s="21"/>
      <c r="V41" s="21"/>
      <c r="W41" s="21"/>
    </row>
    <row r="42" spans="1:23" x14ac:dyDescent="0.3">
      <c r="A42" t="s">
        <v>30</v>
      </c>
      <c r="B42">
        <v>2020</v>
      </c>
      <c r="C42" t="s">
        <v>45</v>
      </c>
      <c r="D42" s="3">
        <v>160.1846153846154</v>
      </c>
      <c r="E42" s="3">
        <v>160.4</v>
      </c>
      <c r="F42" s="3">
        <v>151.24</v>
      </c>
      <c r="P42" s="21"/>
      <c r="Q42" s="21"/>
      <c r="R42" s="21"/>
      <c r="S42" s="21"/>
      <c r="T42" s="21"/>
      <c r="U42" s="21"/>
      <c r="V42" s="21"/>
      <c r="W42" s="21"/>
    </row>
    <row r="43" spans="1:23" x14ac:dyDescent="0.3">
      <c r="A43" t="s">
        <v>30</v>
      </c>
      <c r="B43">
        <v>2020</v>
      </c>
      <c r="C43" t="s">
        <v>46</v>
      </c>
      <c r="D43" s="3">
        <v>161.57692307692307</v>
      </c>
      <c r="E43" s="3">
        <v>161.6</v>
      </c>
      <c r="F43" s="3">
        <v>151.80000000000001</v>
      </c>
    </row>
    <row r="44" spans="1:23" x14ac:dyDescent="0.3">
      <c r="A44" t="s">
        <v>30</v>
      </c>
      <c r="B44">
        <v>2021</v>
      </c>
      <c r="C44" t="s">
        <v>31</v>
      </c>
      <c r="D44" s="3">
        <v>158.89999999999998</v>
      </c>
      <c r="E44" s="3">
        <v>162.5</v>
      </c>
      <c r="F44" s="3">
        <v>152.71999999999997</v>
      </c>
    </row>
    <row r="45" spans="1:23" x14ac:dyDescent="0.3">
      <c r="A45" t="s">
        <v>30</v>
      </c>
      <c r="B45">
        <v>2021</v>
      </c>
      <c r="C45" t="s">
        <v>35</v>
      </c>
      <c r="D45" s="3">
        <v>155.7923076923077</v>
      </c>
      <c r="E45" s="3">
        <v>164.3</v>
      </c>
      <c r="F45" s="3">
        <v>154.32000000000002</v>
      </c>
    </row>
    <row r="47" spans="1:23" x14ac:dyDescent="0.3">
      <c r="C47" s="1" t="s">
        <v>99</v>
      </c>
    </row>
    <row r="48" spans="1:23" x14ac:dyDescent="0.3">
      <c r="A48" s="1" t="s">
        <v>0</v>
      </c>
      <c r="B48" s="1" t="s">
        <v>1</v>
      </c>
      <c r="C48" s="1" t="s">
        <v>2</v>
      </c>
      <c r="D48" s="1" t="s">
        <v>49</v>
      </c>
      <c r="E48" s="1" t="s">
        <v>54</v>
      </c>
      <c r="F48" s="1" t="s">
        <v>52</v>
      </c>
    </row>
    <row r="49" spans="1:23" x14ac:dyDescent="0.3">
      <c r="A49" t="s">
        <v>30</v>
      </c>
      <c r="B49">
        <v>2021</v>
      </c>
      <c r="C49" t="s">
        <v>36</v>
      </c>
      <c r="D49" s="3">
        <v>155.82307692307694</v>
      </c>
      <c r="E49" s="3">
        <v>164.6</v>
      </c>
      <c r="F49" s="3">
        <v>154.60000000000002</v>
      </c>
    </row>
    <row r="50" spans="1:23" x14ac:dyDescent="0.3">
      <c r="A50" t="s">
        <v>30</v>
      </c>
      <c r="B50">
        <v>2021</v>
      </c>
      <c r="C50" t="s">
        <v>37</v>
      </c>
      <c r="D50" s="3">
        <v>157.65384615384616</v>
      </c>
      <c r="E50" s="3">
        <v>165.3</v>
      </c>
      <c r="F50" s="3">
        <v>155.28</v>
      </c>
    </row>
    <row r="51" spans="1:23" x14ac:dyDescent="0.3">
      <c r="A51" t="s">
        <v>30</v>
      </c>
      <c r="B51">
        <v>2021</v>
      </c>
      <c r="C51" t="s">
        <v>38</v>
      </c>
      <c r="D51" s="3">
        <v>161.17692307692306</v>
      </c>
      <c r="E51" s="3">
        <v>169.1</v>
      </c>
      <c r="F51" s="3">
        <v>158.6</v>
      </c>
    </row>
    <row r="52" spans="1:23" x14ac:dyDescent="0.3">
      <c r="A52" t="s">
        <v>30</v>
      </c>
      <c r="B52">
        <v>2021</v>
      </c>
      <c r="C52" t="s">
        <v>39</v>
      </c>
      <c r="D52" s="3">
        <v>163.27692307692308</v>
      </c>
      <c r="E52" s="3">
        <v>169.7</v>
      </c>
      <c r="F52" s="3">
        <v>159.06</v>
      </c>
    </row>
    <row r="53" spans="1:23" x14ac:dyDescent="0.3">
      <c r="A53" t="s">
        <v>30</v>
      </c>
      <c r="B53">
        <v>2021</v>
      </c>
      <c r="C53" t="s">
        <v>40</v>
      </c>
      <c r="D53" s="3">
        <v>164.03076923076924</v>
      </c>
      <c r="E53" s="3">
        <v>170.4</v>
      </c>
      <c r="F53" s="3">
        <v>160.19999999999999</v>
      </c>
    </row>
    <row r="54" spans="1:23" x14ac:dyDescent="0.3">
      <c r="A54" t="s">
        <v>30</v>
      </c>
      <c r="B54">
        <v>2021</v>
      </c>
      <c r="C54" t="s">
        <v>41</v>
      </c>
      <c r="D54" s="3">
        <v>163.90769230769232</v>
      </c>
      <c r="E54" s="3">
        <v>171.1</v>
      </c>
      <c r="F54" s="3">
        <v>160.61999999999998</v>
      </c>
    </row>
    <row r="55" spans="1:23" x14ac:dyDescent="0.3">
      <c r="A55" t="s">
        <v>30</v>
      </c>
      <c r="B55">
        <v>2021</v>
      </c>
      <c r="C55" t="s">
        <v>42</v>
      </c>
      <c r="D55" s="3">
        <v>164.12307692307692</v>
      </c>
      <c r="E55" s="3">
        <v>171.9</v>
      </c>
      <c r="F55" s="3">
        <v>161.14000000000001</v>
      </c>
    </row>
    <row r="56" spans="1:23" x14ac:dyDescent="0.3">
      <c r="A56" t="s">
        <v>30</v>
      </c>
      <c r="B56">
        <v>2021</v>
      </c>
      <c r="C56" t="s">
        <v>43</v>
      </c>
      <c r="D56" s="3">
        <v>166.47692307692307</v>
      </c>
      <c r="E56" s="3">
        <v>172.5</v>
      </c>
      <c r="F56" s="3">
        <v>162.26000000000002</v>
      </c>
    </row>
    <row r="57" spans="1:23" x14ac:dyDescent="0.3">
      <c r="A57" t="s">
        <v>30</v>
      </c>
      <c r="B57">
        <v>2021</v>
      </c>
      <c r="C57" t="s">
        <v>45</v>
      </c>
      <c r="D57" s="3">
        <v>167.84615384615384</v>
      </c>
      <c r="E57" s="3">
        <v>173.4</v>
      </c>
      <c r="F57" s="3">
        <v>162.66000000000003</v>
      </c>
    </row>
    <row r="58" spans="1:23" x14ac:dyDescent="0.3">
      <c r="A58" t="s">
        <v>30</v>
      </c>
      <c r="B58">
        <v>2021</v>
      </c>
      <c r="C58" t="s">
        <v>46</v>
      </c>
      <c r="D58" s="3">
        <v>166.78461538461536</v>
      </c>
      <c r="E58" s="3">
        <v>174</v>
      </c>
      <c r="F58" s="3">
        <v>163.38000000000002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t="s">
        <v>30</v>
      </c>
      <c r="B59">
        <v>2022</v>
      </c>
      <c r="C59" t="s">
        <v>31</v>
      </c>
      <c r="D59" s="3">
        <v>165.61538461538461</v>
      </c>
      <c r="E59" s="3">
        <v>174.7</v>
      </c>
      <c r="F59" s="3">
        <v>163.92000000000002</v>
      </c>
      <c r="P59" s="6"/>
      <c r="Q59" s="6"/>
      <c r="R59" s="6"/>
      <c r="S59" s="6"/>
      <c r="T59" s="6"/>
      <c r="U59" s="6"/>
      <c r="V59" s="6"/>
      <c r="W59" s="6"/>
    </row>
    <row r="60" spans="1:23" x14ac:dyDescent="0.3">
      <c r="A60" t="s">
        <v>30</v>
      </c>
      <c r="B60">
        <v>2022</v>
      </c>
      <c r="C60" t="s">
        <v>35</v>
      </c>
      <c r="D60" s="3">
        <v>165.41538461538462</v>
      </c>
      <c r="E60" s="3">
        <v>175.3</v>
      </c>
      <c r="F60" s="3">
        <v>164.85999999999999</v>
      </c>
      <c r="P60" s="21"/>
      <c r="Q60" s="21"/>
      <c r="R60" s="21"/>
      <c r="S60" s="21"/>
      <c r="T60" s="21"/>
      <c r="U60" s="21"/>
      <c r="V60" s="21"/>
      <c r="W60" s="21"/>
    </row>
    <row r="61" spans="1:23" x14ac:dyDescent="0.3">
      <c r="P61" s="21"/>
      <c r="Q61" s="21"/>
      <c r="R61" s="21"/>
      <c r="S61" s="21"/>
      <c r="T61" s="21"/>
      <c r="U61" s="21"/>
      <c r="V61" s="21"/>
      <c r="W61" s="21"/>
    </row>
    <row r="62" spans="1:23" x14ac:dyDescent="0.3">
      <c r="P62" s="21"/>
      <c r="Q62" s="21"/>
      <c r="R62" s="21"/>
      <c r="S62" s="21"/>
      <c r="T62" s="21"/>
      <c r="U62" s="21"/>
      <c r="V62" s="21"/>
      <c r="W62" s="21"/>
    </row>
    <row r="63" spans="1:23" x14ac:dyDescent="0.3">
      <c r="P63" s="21"/>
      <c r="Q63" s="21"/>
      <c r="R63" s="21"/>
      <c r="S63" s="21"/>
      <c r="T63" s="21"/>
      <c r="U63" s="21"/>
      <c r="V63" s="21"/>
      <c r="W63" s="21"/>
    </row>
    <row r="64" spans="1:23" x14ac:dyDescent="0.3">
      <c r="P64" s="21"/>
      <c r="Q64" s="21"/>
      <c r="R64" s="21"/>
      <c r="S64" s="21"/>
      <c r="T64" s="21"/>
      <c r="U64" s="21"/>
      <c r="V64" s="21"/>
      <c r="W64" s="21"/>
    </row>
    <row r="65" spans="16:23" x14ac:dyDescent="0.3">
      <c r="P65" s="21"/>
      <c r="Q65" s="21"/>
      <c r="R65" s="21"/>
      <c r="S65" s="21"/>
      <c r="T65" s="21"/>
      <c r="U65" s="21"/>
      <c r="V65" s="21"/>
      <c r="W65" s="21"/>
    </row>
    <row r="66" spans="16:23" x14ac:dyDescent="0.3">
      <c r="P66" s="21"/>
      <c r="Q66" s="21"/>
      <c r="R66" s="21"/>
      <c r="S66" s="21"/>
      <c r="T66" s="21"/>
      <c r="U66" s="21"/>
      <c r="V66" s="21"/>
      <c r="W66" s="21"/>
    </row>
    <row r="67" spans="16:23" x14ac:dyDescent="0.3">
      <c r="P67" s="21"/>
      <c r="Q67" s="21"/>
      <c r="R67" s="21"/>
      <c r="S67" s="21"/>
      <c r="T67" s="21"/>
      <c r="U67" s="21"/>
      <c r="V67" s="21"/>
      <c r="W67" s="21"/>
    </row>
    <row r="68" spans="16:23" x14ac:dyDescent="0.3">
      <c r="P68" s="21"/>
      <c r="Q68" s="21"/>
      <c r="R68" s="21"/>
      <c r="S68" s="21"/>
      <c r="T68" s="21"/>
      <c r="U68" s="21"/>
      <c r="V68" s="21"/>
      <c r="W68" s="21"/>
    </row>
    <row r="69" spans="16:23" x14ac:dyDescent="0.3">
      <c r="P69" s="21"/>
      <c r="Q69" s="21"/>
      <c r="R69" s="21"/>
      <c r="S69" s="21"/>
      <c r="T69" s="21"/>
      <c r="U69" s="21"/>
      <c r="V69" s="21"/>
      <c r="W69" s="21"/>
    </row>
    <row r="70" spans="16:23" x14ac:dyDescent="0.3">
      <c r="P70" s="21"/>
      <c r="Q70" s="21"/>
      <c r="R70" s="21"/>
      <c r="S70" s="21"/>
      <c r="T70" s="21"/>
      <c r="U70" s="21"/>
      <c r="V70" s="21"/>
      <c r="W70" s="21"/>
    </row>
    <row r="86" spans="13:23" x14ac:dyDescent="0.3"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3:23" x14ac:dyDescent="0.3">
      <c r="P87" s="6"/>
      <c r="Q87" s="6"/>
      <c r="R87" s="6"/>
      <c r="S87" s="6"/>
      <c r="T87" s="6"/>
      <c r="U87" s="6"/>
      <c r="V87" s="6"/>
      <c r="W87" s="6"/>
    </row>
    <row r="88" spans="13:23" x14ac:dyDescent="0.3">
      <c r="P88" s="21"/>
      <c r="Q88" s="21"/>
      <c r="R88" s="21"/>
      <c r="S88" s="21"/>
      <c r="T88" s="21"/>
      <c r="U88" s="21"/>
      <c r="V88" s="21"/>
      <c r="W88" s="21"/>
    </row>
    <row r="89" spans="13:23" x14ac:dyDescent="0.3">
      <c r="P89" s="21"/>
      <c r="Q89" s="21"/>
      <c r="R89" s="21"/>
      <c r="S89" s="21"/>
      <c r="T89" s="21"/>
      <c r="U89" s="21"/>
      <c r="V89" s="21"/>
      <c r="W89" s="21"/>
    </row>
    <row r="90" spans="13:23" x14ac:dyDescent="0.3">
      <c r="P90" s="21"/>
      <c r="Q90" s="21"/>
      <c r="R90" s="21"/>
      <c r="S90" s="21"/>
      <c r="T90" s="21"/>
      <c r="U90" s="21"/>
      <c r="V90" s="21"/>
      <c r="W90" s="21"/>
    </row>
    <row r="91" spans="13:23" x14ac:dyDescent="0.3">
      <c r="P91" s="21"/>
      <c r="Q91" s="21"/>
      <c r="R91" s="21"/>
      <c r="S91" s="21"/>
      <c r="T91" s="21"/>
      <c r="U91" s="21"/>
      <c r="V91" s="21"/>
      <c r="W91" s="21"/>
    </row>
    <row r="92" spans="13:23" x14ac:dyDescent="0.3">
      <c r="P92" s="21"/>
      <c r="Q92" s="21"/>
      <c r="R92" s="21"/>
      <c r="S92" s="21"/>
      <c r="T92" s="21"/>
      <c r="U92" s="21"/>
      <c r="V92" s="21"/>
      <c r="W92" s="21"/>
    </row>
    <row r="93" spans="13:23" x14ac:dyDescent="0.3">
      <c r="P93" s="21"/>
      <c r="Q93" s="21"/>
      <c r="R93" s="21"/>
      <c r="S93" s="21"/>
      <c r="T93" s="21"/>
      <c r="U93" s="21"/>
      <c r="V93" s="21"/>
      <c r="W93" s="21"/>
    </row>
    <row r="94" spans="13:23" x14ac:dyDescent="0.3">
      <c r="P94" s="21"/>
      <c r="Q94" s="21"/>
      <c r="R94" s="21"/>
      <c r="S94" s="21"/>
      <c r="T94" s="21"/>
      <c r="U94" s="21"/>
      <c r="V94" s="21"/>
      <c r="W94" s="21"/>
    </row>
    <row r="95" spans="13:23" x14ac:dyDescent="0.3">
      <c r="P95" s="21"/>
      <c r="Q95" s="21"/>
      <c r="R95" s="21"/>
      <c r="S95" s="21"/>
      <c r="T95" s="21"/>
      <c r="U95" s="21"/>
      <c r="V95" s="21"/>
      <c r="W95" s="21"/>
    </row>
    <row r="96" spans="13:23" x14ac:dyDescent="0.3">
      <c r="P96" s="21"/>
      <c r="Q96" s="21"/>
      <c r="R96" s="21"/>
      <c r="S96" s="21"/>
      <c r="T96" s="21"/>
      <c r="U96" s="21"/>
      <c r="V96" s="21"/>
      <c r="W96" s="21"/>
    </row>
    <row r="97" spans="16:23" x14ac:dyDescent="0.3">
      <c r="P97" s="21"/>
      <c r="Q97" s="21"/>
      <c r="R97" s="21"/>
      <c r="S97" s="21"/>
      <c r="T97" s="21"/>
      <c r="U97" s="21"/>
      <c r="V97" s="21"/>
      <c r="W97" s="21"/>
    </row>
    <row r="98" spans="16:23" x14ac:dyDescent="0.3">
      <c r="P98" s="21"/>
      <c r="Q98" s="21"/>
      <c r="R98" s="21"/>
      <c r="S98" s="21"/>
      <c r="T98" s="21"/>
      <c r="U98" s="21"/>
      <c r="V98" s="21"/>
      <c r="W98" s="21"/>
    </row>
  </sheetData>
  <mergeCells count="1">
    <mergeCell ref="J5:M5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8301-CDAD-437E-9C78-8243D89C5D8D}">
  <dimension ref="A1:W95"/>
  <sheetViews>
    <sheetView topLeftCell="H10" zoomScaleNormal="100" workbookViewId="0">
      <selection activeCell="S27" sqref="S27"/>
    </sheetView>
  </sheetViews>
  <sheetFormatPr defaultRowHeight="14.4" x14ac:dyDescent="0.3"/>
  <cols>
    <col min="1" max="1" width="11.77734375" bestFit="1" customWidth="1"/>
    <col min="2" max="2" width="5" bestFit="1" customWidth="1"/>
    <col min="3" max="3" width="10" bestFit="1" customWidth="1"/>
    <col min="4" max="4" width="6.109375" bestFit="1" customWidth="1"/>
    <col min="5" max="5" width="7.88671875" bestFit="1" customWidth="1"/>
    <col min="6" max="7" width="17.33203125" bestFit="1" customWidth="1"/>
    <col min="8" max="8" width="7.6640625" bestFit="1" customWidth="1"/>
    <col min="10" max="10" width="10.6640625" bestFit="1" customWidth="1"/>
    <col min="11" max="11" width="20.109375" bestFit="1" customWidth="1"/>
    <col min="18" max="18" width="17.33203125" bestFit="1" customWidth="1"/>
    <col min="19" max="19" width="95.6640625" bestFit="1" customWidth="1"/>
  </cols>
  <sheetData>
    <row r="1" spans="1:23" x14ac:dyDescent="0.3">
      <c r="C1" s="1" t="s">
        <v>96</v>
      </c>
    </row>
    <row r="2" spans="1:23" x14ac:dyDescent="0.3">
      <c r="A2" s="1" t="s">
        <v>0</v>
      </c>
      <c r="B2" s="1" t="s">
        <v>1</v>
      </c>
      <c r="C2" s="1" t="s">
        <v>2</v>
      </c>
      <c r="D2" s="1" t="s">
        <v>49</v>
      </c>
      <c r="E2" s="1" t="s">
        <v>54</v>
      </c>
      <c r="F2" s="1" t="s">
        <v>52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t="s">
        <v>34</v>
      </c>
      <c r="B3">
        <v>2018</v>
      </c>
      <c r="C3" t="s">
        <v>36</v>
      </c>
      <c r="D3" s="3">
        <v>135.07692307692307</v>
      </c>
      <c r="E3" s="3">
        <v>134.30000000000001</v>
      </c>
      <c r="F3" s="3">
        <v>130.34</v>
      </c>
      <c r="P3" s="6"/>
      <c r="Q3" s="6"/>
      <c r="R3" s="6"/>
      <c r="S3" s="6"/>
      <c r="T3" s="6"/>
      <c r="U3" s="6"/>
      <c r="V3" s="6"/>
      <c r="W3" s="6"/>
    </row>
    <row r="4" spans="1:23" x14ac:dyDescent="0.3">
      <c r="A4" t="s">
        <v>34</v>
      </c>
      <c r="B4">
        <v>2018</v>
      </c>
      <c r="C4" t="s">
        <v>37</v>
      </c>
      <c r="D4" s="3">
        <v>135.16153846153847</v>
      </c>
      <c r="E4" s="3">
        <v>135.19999999999999</v>
      </c>
      <c r="F4" s="3">
        <v>131.1</v>
      </c>
      <c r="P4" s="21"/>
      <c r="Q4" s="21"/>
      <c r="R4" s="21"/>
      <c r="S4" s="21"/>
      <c r="T4" s="21"/>
      <c r="U4" s="21"/>
      <c r="V4" s="21"/>
      <c r="W4" s="21"/>
    </row>
    <row r="5" spans="1:23" x14ac:dyDescent="0.3">
      <c r="A5" t="s">
        <v>34</v>
      </c>
      <c r="B5">
        <v>2018</v>
      </c>
      <c r="C5" t="s">
        <v>38</v>
      </c>
      <c r="D5" s="3">
        <v>135.36923076923077</v>
      </c>
      <c r="E5" s="3">
        <v>136</v>
      </c>
      <c r="F5" s="3">
        <v>131.78</v>
      </c>
      <c r="H5" s="48" t="s">
        <v>94</v>
      </c>
      <c r="I5" s="48"/>
      <c r="J5" s="48"/>
      <c r="K5" s="48"/>
      <c r="P5" s="21"/>
      <c r="Q5" s="21"/>
      <c r="R5" s="21"/>
      <c r="S5" s="21"/>
      <c r="T5" s="21"/>
      <c r="U5" s="21"/>
      <c r="V5" s="21"/>
      <c r="W5" s="21"/>
    </row>
    <row r="6" spans="1:23" x14ac:dyDescent="0.3">
      <c r="A6" t="s">
        <v>34</v>
      </c>
      <c r="B6">
        <v>2018</v>
      </c>
      <c r="C6" t="s">
        <v>39</v>
      </c>
      <c r="D6" s="3">
        <v>136.46923076923079</v>
      </c>
      <c r="E6" s="3">
        <v>136.19999999999999</v>
      </c>
      <c r="F6" s="3">
        <v>132.47999999999999</v>
      </c>
      <c r="H6" s="1" t="s">
        <v>1</v>
      </c>
      <c r="I6" s="1" t="s">
        <v>49</v>
      </c>
      <c r="J6" s="1" t="s">
        <v>54</v>
      </c>
      <c r="K6" s="1" t="s">
        <v>52</v>
      </c>
      <c r="P6" s="21"/>
      <c r="Q6" s="21"/>
      <c r="R6" s="21"/>
      <c r="S6" s="21"/>
      <c r="T6" s="21"/>
      <c r="U6" s="21"/>
      <c r="V6" s="21"/>
      <c r="W6" s="21"/>
    </row>
    <row r="7" spans="1:23" x14ac:dyDescent="0.3">
      <c r="A7" t="s">
        <v>34</v>
      </c>
      <c r="B7">
        <v>2018</v>
      </c>
      <c r="C7" t="s">
        <v>40</v>
      </c>
      <c r="D7" s="3">
        <v>138.1</v>
      </c>
      <c r="E7" s="3">
        <v>137</v>
      </c>
      <c r="F7" s="3">
        <v>133.02000000000001</v>
      </c>
      <c r="H7" t="s">
        <v>89</v>
      </c>
      <c r="I7" s="41">
        <f>(D14-D3)/D3</f>
        <v>6.2642369020494341E-4</v>
      </c>
      <c r="J7" s="41">
        <f t="shared" ref="J7:K7" si="0">(E14-E3)/E3</f>
        <v>8.4139985107967108E-2</v>
      </c>
      <c r="K7" s="41">
        <f t="shared" si="0"/>
        <v>3.9128433328218463E-2</v>
      </c>
      <c r="P7" s="21"/>
      <c r="Q7" s="21"/>
      <c r="R7" s="21"/>
      <c r="S7" s="21"/>
      <c r="T7" s="21"/>
      <c r="U7" s="21"/>
      <c r="V7" s="21"/>
      <c r="W7" s="21"/>
    </row>
    <row r="8" spans="1:23" x14ac:dyDescent="0.3">
      <c r="A8" t="s">
        <v>34</v>
      </c>
      <c r="B8">
        <v>2018</v>
      </c>
      <c r="C8" t="s">
        <v>41</v>
      </c>
      <c r="D8" s="3">
        <v>138.36153846153849</v>
      </c>
      <c r="E8" s="3">
        <v>137.69999999999999</v>
      </c>
      <c r="F8" s="3">
        <v>133.66000000000003</v>
      </c>
      <c r="H8" t="s">
        <v>90</v>
      </c>
      <c r="I8" s="41">
        <f>(D29-D18)/D18</f>
        <v>8.4349651143002899E-2</v>
      </c>
      <c r="J8" s="41">
        <f t="shared" ref="J8:K8" si="1">(E29-E18)/E18</f>
        <v>3.761969904240766E-2</v>
      </c>
      <c r="K8" s="41">
        <f t="shared" si="1"/>
        <v>4.608362779740887E-2</v>
      </c>
      <c r="P8" s="21"/>
      <c r="Q8" s="21"/>
      <c r="R8" s="21"/>
      <c r="S8" s="21"/>
      <c r="T8" s="21"/>
      <c r="U8" s="21"/>
      <c r="V8" s="21"/>
      <c r="W8" s="21"/>
    </row>
    <row r="9" spans="1:23" x14ac:dyDescent="0.3">
      <c r="A9" t="s">
        <v>34</v>
      </c>
      <c r="B9">
        <v>2018</v>
      </c>
      <c r="C9" t="s">
        <v>42</v>
      </c>
      <c r="D9" s="3">
        <v>136.88461538461539</v>
      </c>
      <c r="E9" s="3">
        <v>138.4</v>
      </c>
      <c r="F9" s="3">
        <v>134.68</v>
      </c>
      <c r="H9" t="s">
        <v>91</v>
      </c>
      <c r="I9" s="41">
        <f>(D44-D33)/D33</f>
        <v>7.5920649994724171E-2</v>
      </c>
      <c r="J9" s="41">
        <f t="shared" ref="J9:K9" si="2">(E44-E33)/E33</f>
        <v>5.9093893630991462E-2</v>
      </c>
      <c r="K9" s="41">
        <f t="shared" si="2"/>
        <v>5.8255146338047833E-2</v>
      </c>
      <c r="P9" s="21"/>
      <c r="Q9" s="21"/>
      <c r="R9" s="21"/>
      <c r="T9" s="21"/>
      <c r="U9" s="21"/>
      <c r="V9" s="21"/>
      <c r="W9" s="21"/>
    </row>
    <row r="10" spans="1:23" x14ac:dyDescent="0.3">
      <c r="A10" t="s">
        <v>34</v>
      </c>
      <c r="B10">
        <v>2018</v>
      </c>
      <c r="C10" t="s">
        <v>43</v>
      </c>
      <c r="D10" s="3">
        <v>136.63076923076923</v>
      </c>
      <c r="E10" s="3">
        <v>142.1</v>
      </c>
      <c r="F10" s="3">
        <v>136.30000000000001</v>
      </c>
      <c r="H10" t="s">
        <v>92</v>
      </c>
      <c r="I10" s="41">
        <f>(D59-D48)/D48</f>
        <v>5.9723448072962808E-2</v>
      </c>
      <c r="J10" s="41">
        <f t="shared" ref="J10:K10" si="3">(E59-E48)/E48</f>
        <v>6.4935064935064943E-2</v>
      </c>
      <c r="K10" s="41">
        <f t="shared" si="3"/>
        <v>6.7957329118925477E-2</v>
      </c>
      <c r="P10" s="21"/>
      <c r="Q10" s="21"/>
      <c r="R10" s="21"/>
      <c r="S10" s="21"/>
      <c r="T10" s="21"/>
      <c r="U10" s="21"/>
      <c r="V10" s="21"/>
      <c r="W10" s="21"/>
    </row>
    <row r="11" spans="1:23" x14ac:dyDescent="0.3">
      <c r="A11" t="s">
        <v>34</v>
      </c>
      <c r="B11">
        <v>2018</v>
      </c>
      <c r="C11" t="s">
        <v>45</v>
      </c>
      <c r="D11" s="3">
        <v>136.59230769230771</v>
      </c>
      <c r="E11" s="3">
        <v>142.1</v>
      </c>
      <c r="F11" s="3">
        <v>136.26</v>
      </c>
      <c r="P11" s="21"/>
      <c r="Q11" s="21"/>
      <c r="R11" s="21"/>
      <c r="S11" s="21"/>
      <c r="T11" s="21"/>
      <c r="U11" s="21"/>
      <c r="V11" s="21"/>
      <c r="W11" s="21"/>
    </row>
    <row r="12" spans="1:23" x14ac:dyDescent="0.3">
      <c r="A12" t="s">
        <v>34</v>
      </c>
      <c r="B12">
        <v>2018</v>
      </c>
      <c r="C12" t="s">
        <v>46</v>
      </c>
      <c r="D12" s="3">
        <v>135.59999999999997</v>
      </c>
      <c r="E12" s="3">
        <v>144.9</v>
      </c>
      <c r="F12" s="3">
        <v>135.69999999999999</v>
      </c>
      <c r="P12" s="21"/>
      <c r="Q12" s="21"/>
      <c r="R12" s="21"/>
      <c r="S12" s="21"/>
      <c r="T12" s="21"/>
      <c r="U12" s="21"/>
      <c r="V12" s="21"/>
      <c r="W12" s="21"/>
    </row>
    <row r="13" spans="1:23" x14ac:dyDescent="0.3">
      <c r="A13" t="s">
        <v>34</v>
      </c>
      <c r="B13">
        <v>2019</v>
      </c>
      <c r="C13" t="s">
        <v>31</v>
      </c>
      <c r="D13" s="3">
        <v>134.87692307692308</v>
      </c>
      <c r="E13" s="3">
        <v>145.1</v>
      </c>
      <c r="F13" s="3">
        <v>135.18</v>
      </c>
      <c r="P13" s="21"/>
      <c r="Q13" s="21"/>
      <c r="R13" s="21"/>
      <c r="S13" s="21"/>
      <c r="T13" s="21"/>
      <c r="U13" s="21"/>
      <c r="V13" s="21"/>
      <c r="W13" s="21"/>
    </row>
    <row r="14" spans="1:23" x14ac:dyDescent="0.3">
      <c r="A14" t="s">
        <v>34</v>
      </c>
      <c r="B14">
        <v>2019</v>
      </c>
      <c r="C14" t="s">
        <v>35</v>
      </c>
      <c r="D14" s="3">
        <v>135.16153846153844</v>
      </c>
      <c r="E14" s="3">
        <v>145.6</v>
      </c>
      <c r="F14" s="3">
        <v>135.44</v>
      </c>
      <c r="P14" s="21"/>
      <c r="Q14" s="21"/>
      <c r="R14" s="21"/>
      <c r="S14" s="21"/>
      <c r="T14" s="21"/>
      <c r="U14" s="21"/>
      <c r="V14" s="21"/>
      <c r="W14" s="21"/>
    </row>
    <row r="16" spans="1:23" x14ac:dyDescent="0.3">
      <c r="C16" s="1" t="s">
        <v>97</v>
      </c>
    </row>
    <row r="17" spans="1:23" x14ac:dyDescent="0.3">
      <c r="A17" s="1" t="s">
        <v>0</v>
      </c>
      <c r="B17" s="1" t="s">
        <v>1</v>
      </c>
      <c r="C17" s="1" t="s">
        <v>2</v>
      </c>
      <c r="D17" s="1" t="s">
        <v>49</v>
      </c>
      <c r="E17" s="1" t="s">
        <v>54</v>
      </c>
      <c r="F17" s="1" t="s">
        <v>52</v>
      </c>
    </row>
    <row r="18" spans="1:23" x14ac:dyDescent="0.3">
      <c r="A18" t="s">
        <v>34</v>
      </c>
      <c r="B18">
        <v>2019</v>
      </c>
      <c r="C18" t="s">
        <v>36</v>
      </c>
      <c r="D18" s="3">
        <v>135.6076923076923</v>
      </c>
      <c r="E18" s="3">
        <v>146.19999999999999</v>
      </c>
      <c r="F18" s="3">
        <v>135.83999999999997</v>
      </c>
      <c r="Q18" s="16" t="s">
        <v>62</v>
      </c>
      <c r="R18" s="1" t="s">
        <v>49</v>
      </c>
      <c r="S18" s="17" t="s">
        <v>106</v>
      </c>
    </row>
    <row r="19" spans="1:23" x14ac:dyDescent="0.3">
      <c r="A19" t="s">
        <v>34</v>
      </c>
      <c r="B19">
        <v>2019</v>
      </c>
      <c r="C19" t="s">
        <v>37</v>
      </c>
      <c r="D19" s="3">
        <v>138.14049590455841</v>
      </c>
      <c r="E19" s="3">
        <v>145.96805555555557</v>
      </c>
      <c r="F19" s="3">
        <v>136.08082175925924</v>
      </c>
      <c r="Q19" s="16" t="s">
        <v>62</v>
      </c>
      <c r="R19" s="1" t="s">
        <v>54</v>
      </c>
      <c r="S19" s="17" t="s">
        <v>107</v>
      </c>
    </row>
    <row r="20" spans="1:23" x14ac:dyDescent="0.3">
      <c r="A20" t="s">
        <v>34</v>
      </c>
      <c r="B20">
        <v>2019</v>
      </c>
      <c r="C20" t="s">
        <v>38</v>
      </c>
      <c r="D20" s="3">
        <v>137.83846153846156</v>
      </c>
      <c r="E20" s="3">
        <v>146.9</v>
      </c>
      <c r="F20" s="3">
        <v>136.29999999999998</v>
      </c>
      <c r="Q20" s="16" t="s">
        <v>62</v>
      </c>
      <c r="R20" s="1" t="s">
        <v>52</v>
      </c>
      <c r="S20" s="17" t="s">
        <v>108</v>
      </c>
    </row>
    <row r="21" spans="1:23" x14ac:dyDescent="0.3">
      <c r="A21" t="s">
        <v>34</v>
      </c>
      <c r="B21">
        <v>2019</v>
      </c>
      <c r="C21" t="s">
        <v>39</v>
      </c>
      <c r="D21" s="3">
        <v>139.54615384615386</v>
      </c>
      <c r="E21" s="3">
        <v>147.4</v>
      </c>
      <c r="F21" s="3">
        <v>136.69999999999999</v>
      </c>
    </row>
    <row r="22" spans="1:23" x14ac:dyDescent="0.3">
      <c r="A22" t="s">
        <v>34</v>
      </c>
      <c r="B22">
        <v>2019</v>
      </c>
      <c r="C22" t="s">
        <v>40</v>
      </c>
      <c r="D22" s="3">
        <v>141.34615384615384</v>
      </c>
      <c r="E22" s="3">
        <v>147.9</v>
      </c>
      <c r="F22" s="3">
        <v>137.06</v>
      </c>
    </row>
    <row r="23" spans="1:23" x14ac:dyDescent="0.3">
      <c r="A23" t="s">
        <v>34</v>
      </c>
      <c r="B23">
        <v>2019</v>
      </c>
      <c r="C23" t="s">
        <v>41</v>
      </c>
      <c r="D23" s="3">
        <v>142.03846153846155</v>
      </c>
      <c r="E23" s="3">
        <v>148.5</v>
      </c>
      <c r="F23" s="3">
        <v>137.62</v>
      </c>
    </row>
    <row r="24" spans="1:23" x14ac:dyDescent="0.3">
      <c r="A24" t="s">
        <v>34</v>
      </c>
      <c r="B24">
        <v>2019</v>
      </c>
      <c r="C24" t="s">
        <v>42</v>
      </c>
      <c r="D24" s="3">
        <v>142.89999999999998</v>
      </c>
      <c r="E24" s="3">
        <v>149</v>
      </c>
      <c r="F24" s="3">
        <v>138.18</v>
      </c>
    </row>
    <row r="25" spans="1:23" x14ac:dyDescent="0.3">
      <c r="A25" t="s">
        <v>34</v>
      </c>
      <c r="B25">
        <v>2019</v>
      </c>
      <c r="C25" t="s">
        <v>43</v>
      </c>
      <c r="D25" s="3">
        <v>145.04615384615383</v>
      </c>
      <c r="E25" s="3">
        <v>149.4</v>
      </c>
      <c r="F25" s="3">
        <v>138.72</v>
      </c>
    </row>
    <row r="26" spans="1:23" x14ac:dyDescent="0.3">
      <c r="A26" t="s">
        <v>34</v>
      </c>
      <c r="B26">
        <v>2019</v>
      </c>
      <c r="C26" t="s">
        <v>45</v>
      </c>
      <c r="D26" s="3">
        <v>146.99230769230769</v>
      </c>
      <c r="E26" s="3">
        <v>149.9</v>
      </c>
      <c r="F26" s="3">
        <v>139.32000000000002</v>
      </c>
    </row>
    <row r="27" spans="1:23" x14ac:dyDescent="0.3">
      <c r="A27" t="s">
        <v>34</v>
      </c>
      <c r="B27">
        <v>2019</v>
      </c>
      <c r="C27" t="s">
        <v>46</v>
      </c>
      <c r="D27" s="3">
        <v>149.70000000000002</v>
      </c>
      <c r="E27" s="3">
        <v>150.4</v>
      </c>
      <c r="F27" s="3">
        <v>140.4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t="s">
        <v>34</v>
      </c>
      <c r="B28">
        <v>2020</v>
      </c>
      <c r="C28" t="s">
        <v>31</v>
      </c>
      <c r="D28" s="3">
        <v>149.26153846153846</v>
      </c>
      <c r="E28" s="3">
        <v>151.19999999999999</v>
      </c>
      <c r="F28" s="3">
        <v>141.35999999999999</v>
      </c>
      <c r="P28" s="6"/>
      <c r="Q28" s="6"/>
      <c r="R28" s="6"/>
      <c r="S28" s="6"/>
      <c r="T28" s="6"/>
      <c r="U28" s="6"/>
      <c r="V28" s="6"/>
      <c r="W28" s="6"/>
    </row>
    <row r="29" spans="1:23" x14ac:dyDescent="0.3">
      <c r="A29" t="s">
        <v>34</v>
      </c>
      <c r="B29">
        <v>2020</v>
      </c>
      <c r="C29" t="s">
        <v>35</v>
      </c>
      <c r="D29" s="3">
        <v>147.04615384615383</v>
      </c>
      <c r="E29" s="3">
        <v>151.69999999999999</v>
      </c>
      <c r="F29" s="3">
        <v>142.1</v>
      </c>
      <c r="P29" s="21"/>
      <c r="Q29" s="21"/>
      <c r="R29" s="21"/>
      <c r="S29" s="21"/>
      <c r="T29" s="21"/>
      <c r="U29" s="21"/>
      <c r="V29" s="21"/>
      <c r="W29" s="21"/>
    </row>
    <row r="30" spans="1:23" x14ac:dyDescent="0.3">
      <c r="P30" s="21"/>
      <c r="Q30" s="21"/>
      <c r="R30" s="21"/>
      <c r="S30" s="21"/>
      <c r="T30" s="21"/>
      <c r="U30" s="21"/>
      <c r="V30" s="21"/>
      <c r="W30" s="21"/>
    </row>
    <row r="31" spans="1:23" x14ac:dyDescent="0.3">
      <c r="C31" s="1" t="s">
        <v>98</v>
      </c>
      <c r="P31" s="21"/>
      <c r="Q31" s="21"/>
      <c r="R31" s="21"/>
      <c r="S31" s="21"/>
      <c r="T31" s="21"/>
      <c r="U31" s="21"/>
      <c r="V31" s="21"/>
      <c r="W31" s="21"/>
    </row>
    <row r="32" spans="1:23" x14ac:dyDescent="0.3">
      <c r="A32" s="1" t="s">
        <v>0</v>
      </c>
      <c r="B32" s="1" t="s">
        <v>1</v>
      </c>
      <c r="C32" s="1" t="s">
        <v>2</v>
      </c>
      <c r="D32" s="1" t="s">
        <v>49</v>
      </c>
      <c r="E32" s="1" t="s">
        <v>54</v>
      </c>
      <c r="F32" s="1" t="s">
        <v>52</v>
      </c>
      <c r="P32" s="21"/>
      <c r="Q32" s="21"/>
      <c r="R32" s="21"/>
      <c r="S32" s="21"/>
      <c r="T32" s="21"/>
      <c r="U32" s="21"/>
      <c r="V32" s="21"/>
      <c r="W32" s="21"/>
    </row>
    <row r="33" spans="1:23" x14ac:dyDescent="0.3">
      <c r="A33" t="s">
        <v>34</v>
      </c>
      <c r="B33">
        <v>2020</v>
      </c>
      <c r="C33" t="s">
        <v>36</v>
      </c>
      <c r="D33" s="3">
        <v>145.80000000000001</v>
      </c>
      <c r="E33" s="3">
        <v>152.30000000000001</v>
      </c>
      <c r="F33" s="3">
        <v>142.82000000000002</v>
      </c>
      <c r="P33" s="21"/>
      <c r="Q33" s="21"/>
      <c r="R33" s="21"/>
      <c r="S33" s="21"/>
      <c r="T33" s="21"/>
      <c r="U33" s="21"/>
      <c r="V33" s="21"/>
      <c r="W33" s="21"/>
    </row>
    <row r="34" spans="1:23" x14ac:dyDescent="0.3">
      <c r="A34" t="s">
        <v>34</v>
      </c>
      <c r="B34">
        <v>2020</v>
      </c>
      <c r="C34" t="s">
        <v>37</v>
      </c>
      <c r="D34" s="3">
        <v>151.22594818376066</v>
      </c>
      <c r="E34" s="3">
        <v>150.69999999999999</v>
      </c>
      <c r="F34" s="3">
        <v>143.97846064814817</v>
      </c>
      <c r="P34" s="21"/>
      <c r="Q34" s="21"/>
      <c r="R34" s="21"/>
      <c r="S34" s="21"/>
      <c r="T34" s="21"/>
      <c r="U34" s="21"/>
      <c r="V34" s="21"/>
      <c r="W34" s="21"/>
    </row>
    <row r="35" spans="1:23" x14ac:dyDescent="0.3">
      <c r="A35" t="s">
        <v>34</v>
      </c>
      <c r="B35">
        <v>2020</v>
      </c>
      <c r="C35" t="s">
        <v>38</v>
      </c>
      <c r="D35" s="3">
        <v>151.14229905966835</v>
      </c>
      <c r="E35" s="3">
        <v>152.69201388888888</v>
      </c>
      <c r="F35" s="3">
        <v>144.82770720137816</v>
      </c>
      <c r="P35" s="21"/>
      <c r="Q35" s="21"/>
      <c r="R35" s="21"/>
      <c r="S35" s="21"/>
      <c r="T35" s="21"/>
      <c r="U35" s="21"/>
      <c r="V35" s="21"/>
      <c r="W35" s="21"/>
    </row>
    <row r="36" spans="1:23" x14ac:dyDescent="0.3">
      <c r="A36" t="s">
        <v>34</v>
      </c>
      <c r="B36">
        <v>2020</v>
      </c>
      <c r="C36" t="s">
        <v>39</v>
      </c>
      <c r="D36" s="3">
        <v>151.2923076923077</v>
      </c>
      <c r="E36" s="3">
        <v>154.4</v>
      </c>
      <c r="F36" s="3">
        <v>144.64000000000001</v>
      </c>
      <c r="P36" s="21"/>
      <c r="Q36" s="21"/>
      <c r="R36" s="21"/>
      <c r="S36" s="21"/>
      <c r="T36" s="21"/>
      <c r="U36" s="21"/>
      <c r="V36" s="21"/>
      <c r="W36" s="21"/>
    </row>
    <row r="37" spans="1:23" x14ac:dyDescent="0.3">
      <c r="A37" t="s">
        <v>34</v>
      </c>
      <c r="B37">
        <v>2020</v>
      </c>
      <c r="C37" t="s">
        <v>40</v>
      </c>
      <c r="D37" s="3">
        <v>151.2923076923077</v>
      </c>
      <c r="E37" s="3">
        <v>154.4</v>
      </c>
      <c r="F37" s="3">
        <v>144.64000000000001</v>
      </c>
      <c r="P37" s="21"/>
      <c r="Q37" s="21"/>
      <c r="R37" s="21"/>
      <c r="S37" s="21"/>
      <c r="T37" s="21"/>
      <c r="U37" s="21"/>
      <c r="V37" s="21"/>
      <c r="W37" s="21"/>
    </row>
    <row r="38" spans="1:23" x14ac:dyDescent="0.3">
      <c r="A38" t="s">
        <v>34</v>
      </c>
      <c r="B38">
        <v>2020</v>
      </c>
      <c r="C38" t="s">
        <v>41</v>
      </c>
      <c r="D38" s="3">
        <v>153.47692307692307</v>
      </c>
      <c r="E38" s="3">
        <v>155</v>
      </c>
      <c r="F38" s="3">
        <v>146.04000000000002</v>
      </c>
      <c r="P38" s="21"/>
      <c r="Q38" s="21"/>
      <c r="R38" s="21"/>
      <c r="S38" s="21"/>
      <c r="T38" s="21"/>
      <c r="U38" s="21"/>
      <c r="V38" s="21"/>
      <c r="W38" s="21"/>
    </row>
    <row r="39" spans="1:23" x14ac:dyDescent="0.3">
      <c r="A39" t="s">
        <v>34</v>
      </c>
      <c r="B39">
        <v>2020</v>
      </c>
      <c r="C39" t="s">
        <v>42</v>
      </c>
      <c r="D39" s="3">
        <v>154.38461538461539</v>
      </c>
      <c r="E39" s="3">
        <v>155.6</v>
      </c>
      <c r="F39" s="3">
        <v>147.24</v>
      </c>
      <c r="P39" s="21"/>
      <c r="Q39" s="21"/>
      <c r="R39" s="21"/>
      <c r="S39" s="21"/>
      <c r="T39" s="21"/>
      <c r="U39" s="21"/>
      <c r="V39" s="21"/>
      <c r="W39" s="21"/>
    </row>
    <row r="40" spans="1:23" x14ac:dyDescent="0.3">
      <c r="A40" t="s">
        <v>34</v>
      </c>
      <c r="B40">
        <v>2020</v>
      </c>
      <c r="C40" t="s">
        <v>43</v>
      </c>
      <c r="D40" s="3">
        <v>157.5846153846154</v>
      </c>
      <c r="E40" s="3">
        <v>156.30000000000001</v>
      </c>
      <c r="F40" s="3">
        <v>147.18</v>
      </c>
    </row>
    <row r="41" spans="1:23" x14ac:dyDescent="0.3">
      <c r="A41" t="s">
        <v>34</v>
      </c>
      <c r="B41">
        <v>2020</v>
      </c>
      <c r="C41" t="s">
        <v>45</v>
      </c>
      <c r="D41" s="3">
        <v>161.19999999999999</v>
      </c>
      <c r="E41" s="3">
        <v>157.19999999999999</v>
      </c>
      <c r="F41" s="3">
        <v>147.69999999999999</v>
      </c>
    </row>
    <row r="42" spans="1:23" x14ac:dyDescent="0.3">
      <c r="A42" t="s">
        <v>34</v>
      </c>
      <c r="B42">
        <v>2020</v>
      </c>
      <c r="C42" t="s">
        <v>46</v>
      </c>
      <c r="D42" s="3">
        <v>162.23846153846154</v>
      </c>
      <c r="E42" s="3">
        <v>158.30000000000001</v>
      </c>
      <c r="F42" s="3">
        <v>148.12</v>
      </c>
    </row>
    <row r="43" spans="1:23" x14ac:dyDescent="0.3">
      <c r="A43" t="s">
        <v>34</v>
      </c>
      <c r="B43">
        <v>2021</v>
      </c>
      <c r="C43" t="s">
        <v>31</v>
      </c>
      <c r="D43" s="3">
        <v>159.73076923076923</v>
      </c>
      <c r="E43" s="3">
        <v>159.30000000000001</v>
      </c>
      <c r="F43" s="3">
        <v>149.24</v>
      </c>
    </row>
    <row r="44" spans="1:23" x14ac:dyDescent="0.3">
      <c r="A44" t="s">
        <v>34</v>
      </c>
      <c r="B44">
        <v>2021</v>
      </c>
      <c r="C44" t="s">
        <v>35</v>
      </c>
      <c r="D44" s="3">
        <v>156.8692307692308</v>
      </c>
      <c r="E44" s="3">
        <v>161.30000000000001</v>
      </c>
      <c r="F44" s="3">
        <v>151.14000000000001</v>
      </c>
    </row>
    <row r="46" spans="1:23" x14ac:dyDescent="0.3">
      <c r="C46" s="1" t="s">
        <v>99</v>
      </c>
    </row>
    <row r="47" spans="1:23" x14ac:dyDescent="0.3">
      <c r="A47" s="1" t="s">
        <v>0</v>
      </c>
      <c r="B47" s="1" t="s">
        <v>1</v>
      </c>
      <c r="C47" s="1" t="s">
        <v>2</v>
      </c>
      <c r="D47" s="1" t="s">
        <v>49</v>
      </c>
      <c r="E47" s="1" t="s">
        <v>54</v>
      </c>
      <c r="F47" s="1" t="s">
        <v>52</v>
      </c>
    </row>
    <row r="48" spans="1:23" x14ac:dyDescent="0.3">
      <c r="A48" t="s">
        <v>34</v>
      </c>
      <c r="B48">
        <v>2021</v>
      </c>
      <c r="C48" t="s">
        <v>36</v>
      </c>
      <c r="D48" s="3">
        <v>156.87692307692308</v>
      </c>
      <c r="E48" s="3">
        <v>161.69999999999999</v>
      </c>
      <c r="F48" s="3">
        <v>151.85999999999999</v>
      </c>
    </row>
    <row r="49" spans="1:23" x14ac:dyDescent="0.3">
      <c r="A49" t="s">
        <v>34</v>
      </c>
      <c r="B49">
        <v>2021</v>
      </c>
      <c r="C49" t="s">
        <v>37</v>
      </c>
      <c r="D49" s="3">
        <v>158.77692307692308</v>
      </c>
      <c r="E49" s="3">
        <v>162.30000000000001</v>
      </c>
      <c r="F49" s="3">
        <v>152.52000000000001</v>
      </c>
    </row>
    <row r="50" spans="1:23" x14ac:dyDescent="0.3">
      <c r="A50" t="s">
        <v>34</v>
      </c>
      <c r="B50">
        <v>2021</v>
      </c>
      <c r="C50" t="s">
        <v>38</v>
      </c>
      <c r="D50" s="3">
        <v>161.9769230769231</v>
      </c>
      <c r="E50" s="3">
        <v>165.8</v>
      </c>
      <c r="F50" s="3">
        <v>155.47999999999999</v>
      </c>
    </row>
    <row r="51" spans="1:23" x14ac:dyDescent="0.3">
      <c r="A51" t="s">
        <v>34</v>
      </c>
      <c r="B51">
        <v>2021</v>
      </c>
      <c r="C51" t="s">
        <v>39</v>
      </c>
      <c r="D51" s="3">
        <v>164.14615384615385</v>
      </c>
      <c r="E51" s="3">
        <v>166.3</v>
      </c>
      <c r="F51" s="3">
        <v>155.80000000000001</v>
      </c>
    </row>
    <row r="52" spans="1:23" x14ac:dyDescent="0.3">
      <c r="A52" t="s">
        <v>34</v>
      </c>
      <c r="B52">
        <v>2021</v>
      </c>
      <c r="C52" t="s">
        <v>40</v>
      </c>
      <c r="D52" s="3">
        <v>165.15384615384616</v>
      </c>
      <c r="E52" s="3">
        <v>167</v>
      </c>
      <c r="F52" s="3">
        <v>157.00000000000003</v>
      </c>
    </row>
    <row r="53" spans="1:23" x14ac:dyDescent="0.3">
      <c r="A53" t="s">
        <v>34</v>
      </c>
      <c r="B53">
        <v>2021</v>
      </c>
      <c r="C53" t="s">
        <v>41</v>
      </c>
      <c r="D53" s="3">
        <v>164.76923076923077</v>
      </c>
      <c r="E53" s="3">
        <v>168.4</v>
      </c>
      <c r="F53" s="3">
        <v>158.34</v>
      </c>
    </row>
    <row r="54" spans="1:23" x14ac:dyDescent="0.3">
      <c r="A54" t="s">
        <v>34</v>
      </c>
      <c r="B54">
        <v>2021</v>
      </c>
      <c r="C54" t="s">
        <v>42</v>
      </c>
      <c r="D54" s="3">
        <v>164.76923076923077</v>
      </c>
      <c r="E54" s="3">
        <v>168.4</v>
      </c>
      <c r="F54" s="3">
        <v>158.35999999999999</v>
      </c>
    </row>
    <row r="55" spans="1:23" x14ac:dyDescent="0.3">
      <c r="A55" t="s">
        <v>34</v>
      </c>
      <c r="B55">
        <v>2021</v>
      </c>
      <c r="C55" t="s">
        <v>43</v>
      </c>
      <c r="D55" s="3">
        <v>167.34615384615384</v>
      </c>
      <c r="E55" s="3">
        <v>169.1</v>
      </c>
      <c r="F55" s="3">
        <v>159.54000000000002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t="s">
        <v>34</v>
      </c>
      <c r="B56">
        <v>2021</v>
      </c>
      <c r="C56" t="s">
        <v>45</v>
      </c>
      <c r="D56" s="3">
        <v>168.77692307692308</v>
      </c>
      <c r="E56" s="3">
        <v>169.9</v>
      </c>
      <c r="F56" s="3">
        <v>160</v>
      </c>
      <c r="P56" s="6"/>
      <c r="Q56" s="6"/>
      <c r="R56" s="6"/>
      <c r="S56" s="6"/>
      <c r="T56" s="6"/>
      <c r="U56" s="6"/>
      <c r="V56" s="6"/>
      <c r="W56" s="6"/>
    </row>
    <row r="57" spans="1:23" x14ac:dyDescent="0.3">
      <c r="A57" t="s">
        <v>34</v>
      </c>
      <c r="B57">
        <v>2021</v>
      </c>
      <c r="C57" t="s">
        <v>46</v>
      </c>
      <c r="D57" s="3">
        <v>167.76153846153846</v>
      </c>
      <c r="E57" s="3">
        <v>170.6</v>
      </c>
      <c r="F57" s="3">
        <v>160.63999999999999</v>
      </c>
      <c r="P57" s="21"/>
      <c r="Q57" s="21"/>
      <c r="R57" s="21"/>
      <c r="S57" s="21"/>
      <c r="T57" s="21"/>
      <c r="U57" s="21"/>
      <c r="V57" s="21"/>
      <c r="W57" s="21"/>
    </row>
    <row r="58" spans="1:23" x14ac:dyDescent="0.3">
      <c r="A58" t="s">
        <v>34</v>
      </c>
      <c r="B58">
        <v>2022</v>
      </c>
      <c r="C58" t="s">
        <v>31</v>
      </c>
      <c r="D58" s="3">
        <v>166.47692307692307</v>
      </c>
      <c r="E58" s="3">
        <v>171.4</v>
      </c>
      <c r="F58" s="3">
        <v>161.19999999999999</v>
      </c>
      <c r="P58" s="21"/>
      <c r="Q58" s="21"/>
      <c r="R58" s="21"/>
      <c r="S58" s="21"/>
      <c r="T58" s="21"/>
      <c r="U58" s="21"/>
      <c r="V58" s="21"/>
      <c r="W58" s="21"/>
    </row>
    <row r="59" spans="1:23" x14ac:dyDescent="0.3">
      <c r="A59" t="s">
        <v>34</v>
      </c>
      <c r="B59">
        <v>2022</v>
      </c>
      <c r="C59" t="s">
        <v>35</v>
      </c>
      <c r="D59" s="3">
        <v>166.24615384615387</v>
      </c>
      <c r="E59" s="3">
        <v>172.2</v>
      </c>
      <c r="F59" s="3">
        <v>162.18</v>
      </c>
      <c r="P59" s="21"/>
      <c r="Q59" s="21"/>
      <c r="R59" s="21"/>
      <c r="S59" s="21"/>
      <c r="T59" s="21"/>
      <c r="U59" s="21"/>
      <c r="V59" s="21"/>
      <c r="W59" s="21"/>
    </row>
    <row r="60" spans="1:23" x14ac:dyDescent="0.3">
      <c r="P60" s="21"/>
      <c r="Q60" s="21"/>
      <c r="R60" s="21"/>
      <c r="S60" s="21"/>
      <c r="T60" s="21"/>
      <c r="U60" s="21"/>
      <c r="V60" s="21"/>
      <c r="W60" s="21"/>
    </row>
    <row r="61" spans="1:23" x14ac:dyDescent="0.3">
      <c r="P61" s="21"/>
      <c r="Q61" s="21"/>
      <c r="R61" s="21"/>
      <c r="S61" s="21"/>
      <c r="T61" s="21"/>
      <c r="U61" s="21"/>
      <c r="V61" s="21"/>
      <c r="W61" s="21"/>
    </row>
    <row r="62" spans="1:23" x14ac:dyDescent="0.3">
      <c r="P62" s="21"/>
      <c r="Q62" s="21"/>
      <c r="R62" s="21"/>
      <c r="S62" s="21"/>
      <c r="T62" s="21"/>
      <c r="U62" s="21"/>
      <c r="V62" s="21"/>
      <c r="W62" s="21"/>
    </row>
    <row r="63" spans="1:23" x14ac:dyDescent="0.3">
      <c r="P63" s="21"/>
      <c r="Q63" s="21"/>
      <c r="R63" s="21"/>
      <c r="S63" s="21"/>
      <c r="T63" s="21"/>
      <c r="U63" s="21"/>
      <c r="V63" s="21"/>
      <c r="W63" s="21"/>
    </row>
    <row r="64" spans="1:23" x14ac:dyDescent="0.3">
      <c r="P64" s="21"/>
      <c r="Q64" s="21"/>
      <c r="R64" s="21"/>
      <c r="S64" s="21"/>
      <c r="T64" s="21"/>
      <c r="U64" s="21"/>
      <c r="V64" s="21"/>
      <c r="W64" s="21"/>
    </row>
    <row r="65" spans="16:23" x14ac:dyDescent="0.3">
      <c r="P65" s="21"/>
      <c r="Q65" s="21"/>
      <c r="R65" s="21"/>
      <c r="S65" s="21"/>
      <c r="T65" s="21"/>
      <c r="U65" s="21"/>
      <c r="V65" s="21"/>
      <c r="W65" s="21"/>
    </row>
    <row r="66" spans="16:23" x14ac:dyDescent="0.3">
      <c r="P66" s="21"/>
      <c r="Q66" s="21"/>
      <c r="R66" s="21"/>
      <c r="S66" s="21"/>
      <c r="T66" s="21"/>
      <c r="U66" s="21"/>
      <c r="V66" s="21"/>
      <c r="W66" s="21"/>
    </row>
    <row r="67" spans="16:23" x14ac:dyDescent="0.3">
      <c r="P67" s="21"/>
      <c r="Q67" s="21"/>
      <c r="R67" s="21"/>
      <c r="S67" s="21"/>
      <c r="T67" s="21"/>
      <c r="U67" s="21"/>
      <c r="V67" s="21"/>
      <c r="W67" s="21"/>
    </row>
    <row r="83" spans="13:23" x14ac:dyDescent="0.3"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3:23" x14ac:dyDescent="0.3">
      <c r="P84" s="6"/>
      <c r="Q84" s="6"/>
      <c r="R84" s="6"/>
      <c r="S84" s="6"/>
      <c r="T84" s="6"/>
      <c r="U84" s="6"/>
      <c r="V84" s="6"/>
      <c r="W84" s="6"/>
    </row>
    <row r="85" spans="13:23" x14ac:dyDescent="0.3">
      <c r="P85" s="21"/>
      <c r="Q85" s="21"/>
      <c r="R85" s="21"/>
      <c r="S85" s="21"/>
      <c r="T85" s="21"/>
      <c r="U85" s="21"/>
      <c r="V85" s="21"/>
      <c r="W85" s="21"/>
    </row>
    <row r="86" spans="13:23" x14ac:dyDescent="0.3">
      <c r="P86" s="21"/>
      <c r="Q86" s="21"/>
      <c r="R86" s="21"/>
      <c r="S86" s="21"/>
      <c r="T86" s="21"/>
      <c r="U86" s="21"/>
      <c r="V86" s="21"/>
      <c r="W86" s="21"/>
    </row>
    <row r="87" spans="13:23" x14ac:dyDescent="0.3">
      <c r="P87" s="21"/>
      <c r="Q87" s="21"/>
      <c r="R87" s="21"/>
      <c r="S87" s="21"/>
      <c r="T87" s="21"/>
      <c r="U87" s="21"/>
      <c r="V87" s="21"/>
      <c r="W87" s="21"/>
    </row>
    <row r="88" spans="13:23" x14ac:dyDescent="0.3">
      <c r="P88" s="21"/>
      <c r="Q88" s="21"/>
      <c r="R88" s="21"/>
      <c r="S88" s="21"/>
      <c r="T88" s="21"/>
      <c r="U88" s="21"/>
      <c r="V88" s="21"/>
      <c r="W88" s="21"/>
    </row>
    <row r="89" spans="13:23" x14ac:dyDescent="0.3">
      <c r="P89" s="21"/>
      <c r="Q89" s="21"/>
      <c r="R89" s="21"/>
      <c r="S89" s="21"/>
      <c r="T89" s="21"/>
      <c r="U89" s="21"/>
      <c r="V89" s="21"/>
      <c r="W89" s="21"/>
    </row>
    <row r="90" spans="13:23" x14ac:dyDescent="0.3">
      <c r="P90" s="21"/>
      <c r="Q90" s="21"/>
      <c r="R90" s="21"/>
      <c r="S90" s="21"/>
      <c r="T90" s="21"/>
      <c r="U90" s="21"/>
      <c r="V90" s="21"/>
      <c r="W90" s="21"/>
    </row>
    <row r="91" spans="13:23" x14ac:dyDescent="0.3">
      <c r="P91" s="21"/>
      <c r="Q91" s="21"/>
      <c r="R91" s="21"/>
      <c r="S91" s="21"/>
      <c r="T91" s="21"/>
      <c r="U91" s="21"/>
      <c r="V91" s="21"/>
      <c r="W91" s="21"/>
    </row>
    <row r="92" spans="13:23" x14ac:dyDescent="0.3">
      <c r="P92" s="21"/>
      <c r="Q92" s="21"/>
      <c r="R92" s="21"/>
      <c r="S92" s="21"/>
      <c r="T92" s="21"/>
      <c r="U92" s="21"/>
      <c r="V92" s="21"/>
      <c r="W92" s="21"/>
    </row>
    <row r="93" spans="13:23" x14ac:dyDescent="0.3">
      <c r="P93" s="21"/>
      <c r="Q93" s="21"/>
      <c r="R93" s="21"/>
      <c r="S93" s="21"/>
      <c r="T93" s="21"/>
      <c r="U93" s="21"/>
      <c r="V93" s="21"/>
      <c r="W93" s="21"/>
    </row>
    <row r="94" spans="13:23" x14ac:dyDescent="0.3">
      <c r="P94" s="21"/>
      <c r="Q94" s="21"/>
      <c r="R94" s="21"/>
      <c r="S94" s="21"/>
      <c r="T94" s="21"/>
      <c r="U94" s="21"/>
      <c r="V94" s="21"/>
      <c r="W94" s="21"/>
    </row>
    <row r="95" spans="13:23" x14ac:dyDescent="0.3">
      <c r="P95" s="21"/>
      <c r="Q95" s="21"/>
      <c r="R95" s="21"/>
      <c r="S95" s="21"/>
      <c r="T95" s="21"/>
      <c r="U95" s="21"/>
      <c r="V95" s="21"/>
      <c r="W95" s="21"/>
    </row>
  </sheetData>
  <mergeCells count="1">
    <mergeCell ref="H5:K5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17C2-1D60-4684-91B1-4E7F92DC317A}">
  <dimension ref="A1:W90"/>
  <sheetViews>
    <sheetView topLeftCell="A13" zoomScaleNormal="100" workbookViewId="0">
      <selection activeCell="J10" sqref="J10"/>
    </sheetView>
  </sheetViews>
  <sheetFormatPr defaultRowHeight="14.4" x14ac:dyDescent="0.3"/>
  <cols>
    <col min="1" max="1" width="6.44140625" bestFit="1" customWidth="1"/>
    <col min="2" max="2" width="5" bestFit="1" customWidth="1"/>
    <col min="3" max="3" width="9.77734375" bestFit="1" customWidth="1"/>
    <col min="4" max="5" width="8.5546875" bestFit="1" customWidth="1"/>
    <col min="6" max="6" width="16.33203125" bestFit="1" customWidth="1"/>
    <col min="7" max="7" width="9.21875" bestFit="1" customWidth="1"/>
    <col min="10" max="10" width="10.88671875" bestFit="1" customWidth="1"/>
    <col min="11" max="11" width="12.88671875" bestFit="1" customWidth="1"/>
    <col min="19" max="19" width="17.33203125" bestFit="1" customWidth="1"/>
    <col min="20" max="20" width="95.6640625" bestFit="1" customWidth="1"/>
  </cols>
  <sheetData>
    <row r="1" spans="1:23" x14ac:dyDescent="0.3">
      <c r="B1" s="49" t="s">
        <v>96</v>
      </c>
      <c r="C1" s="49"/>
      <c r="D1" s="49"/>
      <c r="E1" s="49"/>
    </row>
    <row r="2" spans="1:23" x14ac:dyDescent="0.3">
      <c r="A2" s="1" t="s">
        <v>0</v>
      </c>
      <c r="B2" s="1" t="s">
        <v>1</v>
      </c>
      <c r="C2" s="1" t="s">
        <v>2</v>
      </c>
      <c r="D2" s="1" t="s">
        <v>49</v>
      </c>
      <c r="E2" s="1" t="s">
        <v>54</v>
      </c>
      <c r="F2" s="1" t="s">
        <v>52</v>
      </c>
      <c r="G2" s="1"/>
      <c r="J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t="s">
        <v>33</v>
      </c>
      <c r="B3">
        <v>2018</v>
      </c>
      <c r="C3" t="s">
        <v>36</v>
      </c>
      <c r="D3" s="3">
        <v>131.96153846153845</v>
      </c>
      <c r="E3" s="3">
        <v>130.5</v>
      </c>
      <c r="F3" s="3">
        <v>125.70000000000002</v>
      </c>
      <c r="G3" s="6"/>
      <c r="J3" s="6"/>
      <c r="K3" s="6"/>
      <c r="P3" s="6"/>
      <c r="Q3" s="6"/>
      <c r="R3" s="6"/>
      <c r="S3" s="6"/>
      <c r="T3" s="6"/>
      <c r="U3" s="6"/>
      <c r="V3" s="6"/>
      <c r="W3" s="6"/>
    </row>
    <row r="4" spans="1:23" x14ac:dyDescent="0.3">
      <c r="A4" t="s">
        <v>33</v>
      </c>
      <c r="B4">
        <v>2018</v>
      </c>
      <c r="C4" t="s">
        <v>37</v>
      </c>
      <c r="D4" s="3">
        <v>132.30769230769232</v>
      </c>
      <c r="E4" s="3">
        <v>131.30000000000001</v>
      </c>
      <c r="F4" s="3">
        <v>126.1</v>
      </c>
      <c r="G4" s="6"/>
      <c r="J4" s="6"/>
      <c r="K4" s="6"/>
      <c r="P4" s="21"/>
      <c r="Q4" s="21"/>
      <c r="R4" s="21"/>
      <c r="S4" s="21"/>
      <c r="T4" s="21"/>
      <c r="U4" s="21"/>
      <c r="V4" s="21"/>
      <c r="W4" s="21"/>
    </row>
    <row r="5" spans="1:23" x14ac:dyDescent="0.3">
      <c r="A5" t="s">
        <v>33</v>
      </c>
      <c r="B5">
        <v>2018</v>
      </c>
      <c r="C5" t="s">
        <v>38</v>
      </c>
      <c r="D5" s="3">
        <v>132.53076923076921</v>
      </c>
      <c r="E5" s="3">
        <v>132</v>
      </c>
      <c r="F5" s="3">
        <v>126.62</v>
      </c>
      <c r="G5" s="6"/>
      <c r="J5" s="6"/>
      <c r="K5" s="6"/>
      <c r="P5" s="21"/>
      <c r="Q5" s="21"/>
      <c r="R5" s="21"/>
      <c r="S5" s="21"/>
      <c r="T5" s="21"/>
      <c r="U5" s="21"/>
      <c r="V5" s="21"/>
      <c r="W5" s="21"/>
    </row>
    <row r="6" spans="1:23" x14ac:dyDescent="0.3">
      <c r="A6" t="s">
        <v>33</v>
      </c>
      <c r="B6">
        <v>2018</v>
      </c>
      <c r="C6" t="s">
        <v>39</v>
      </c>
      <c r="D6" s="3">
        <v>134.40769230769232</v>
      </c>
      <c r="E6" s="3">
        <v>132.6</v>
      </c>
      <c r="F6" s="3">
        <v>127.34</v>
      </c>
      <c r="G6" s="6"/>
      <c r="I6" s="48" t="s">
        <v>95</v>
      </c>
      <c r="J6" s="48"/>
      <c r="K6" s="48"/>
      <c r="L6" s="48"/>
      <c r="P6" s="21"/>
      <c r="Q6" s="21"/>
      <c r="R6" s="21"/>
      <c r="S6" s="21"/>
      <c r="T6" s="21"/>
      <c r="U6" s="21"/>
      <c r="V6" s="21"/>
      <c r="W6" s="21"/>
    </row>
    <row r="7" spans="1:23" x14ac:dyDescent="0.3">
      <c r="A7" t="s">
        <v>33</v>
      </c>
      <c r="B7">
        <v>2018</v>
      </c>
      <c r="C7" t="s">
        <v>40</v>
      </c>
      <c r="D7" s="3">
        <v>136.23846153846154</v>
      </c>
      <c r="E7" s="3">
        <v>133.6</v>
      </c>
      <c r="F7" s="3">
        <v>127.8</v>
      </c>
      <c r="G7" s="6"/>
      <c r="I7" s="1" t="s">
        <v>1</v>
      </c>
      <c r="J7" s="1" t="s">
        <v>49</v>
      </c>
      <c r="K7" s="1" t="s">
        <v>54</v>
      </c>
      <c r="L7" s="1" t="s">
        <v>52</v>
      </c>
      <c r="P7" s="21"/>
      <c r="Q7" s="21"/>
      <c r="R7" s="21"/>
      <c r="S7" s="21"/>
      <c r="T7" s="21"/>
      <c r="U7" s="21"/>
      <c r="V7" s="21"/>
      <c r="W7" s="21"/>
    </row>
    <row r="8" spans="1:23" x14ac:dyDescent="0.3">
      <c r="A8" t="s">
        <v>33</v>
      </c>
      <c r="B8">
        <v>2018</v>
      </c>
      <c r="C8" t="s">
        <v>41</v>
      </c>
      <c r="D8" s="3">
        <v>135.96923076923076</v>
      </c>
      <c r="E8" s="3">
        <v>134.9</v>
      </c>
      <c r="F8" s="3">
        <v>128.6</v>
      </c>
      <c r="G8" s="6"/>
      <c r="I8" t="s">
        <v>89</v>
      </c>
      <c r="J8" s="41">
        <f>(D14-D3)/D3</f>
        <v>2.267560477994774E-2</v>
      </c>
      <c r="K8" s="41">
        <f t="shared" ref="K8:L8" si="0">(E14-E3)/E3</f>
        <v>6.1302681992337162E-2</v>
      </c>
      <c r="L8" s="41">
        <f t="shared" si="0"/>
        <v>3.1185361972951142E-2</v>
      </c>
      <c r="P8" s="21"/>
      <c r="Q8" s="21"/>
      <c r="R8" s="21"/>
      <c r="S8" s="21"/>
      <c r="T8" s="21"/>
      <c r="U8" s="21"/>
      <c r="V8" s="21"/>
      <c r="W8" s="21"/>
    </row>
    <row r="9" spans="1:23" x14ac:dyDescent="0.3">
      <c r="A9" t="s">
        <v>33</v>
      </c>
      <c r="B9">
        <v>2018</v>
      </c>
      <c r="C9" t="s">
        <v>42</v>
      </c>
      <c r="D9" s="3">
        <v>134.49230769230769</v>
      </c>
      <c r="E9" s="3">
        <v>135.69999999999999</v>
      </c>
      <c r="F9" s="3">
        <v>129.61999999999998</v>
      </c>
      <c r="G9" s="6"/>
      <c r="I9" t="s">
        <v>90</v>
      </c>
      <c r="J9" s="41">
        <f>(D29-D18)/D18</f>
        <v>8.3804569102012949E-2</v>
      </c>
      <c r="K9" s="41">
        <f t="shared" ref="K9:L9" si="1">(E29-E18)/E18</f>
        <v>3.7356321839080588E-2</v>
      </c>
      <c r="L9" s="41">
        <f t="shared" si="1"/>
        <v>5.3302611367127703E-2</v>
      </c>
      <c r="P9" s="21"/>
      <c r="Q9" s="21"/>
      <c r="R9" s="21"/>
      <c r="S9" s="21"/>
      <c r="T9" s="21"/>
      <c r="U9" s="21"/>
      <c r="V9" s="21"/>
      <c r="W9" s="21"/>
    </row>
    <row r="10" spans="1:23" x14ac:dyDescent="0.3">
      <c r="A10" t="s">
        <v>33</v>
      </c>
      <c r="B10">
        <v>2018</v>
      </c>
      <c r="C10" t="s">
        <v>43</v>
      </c>
      <c r="D10" s="3">
        <v>134.93076923076922</v>
      </c>
      <c r="E10" s="3">
        <v>136.19999999999999</v>
      </c>
      <c r="F10" s="3">
        <v>130.57999999999998</v>
      </c>
      <c r="G10" s="6"/>
      <c r="I10" t="s">
        <v>91</v>
      </c>
      <c r="J10" s="41">
        <f>(D45-D34)/D34</f>
        <v>8.8227548064261266E-2</v>
      </c>
      <c r="K10" s="41">
        <f t="shared" ref="K10:L10" si="2">(E45-E34)/E34</f>
        <v>7.7931034482758704E-2</v>
      </c>
      <c r="L10" s="41">
        <f t="shared" si="2"/>
        <v>7.2608695652174191E-2</v>
      </c>
      <c r="P10" s="21"/>
      <c r="Q10" s="21"/>
      <c r="R10" s="21"/>
      <c r="S10" s="21"/>
      <c r="T10" s="21"/>
      <c r="U10" s="21"/>
      <c r="V10" s="21"/>
      <c r="W10" s="21"/>
    </row>
    <row r="11" spans="1:23" x14ac:dyDescent="0.3">
      <c r="A11" t="s">
        <v>33</v>
      </c>
      <c r="B11">
        <v>2018</v>
      </c>
      <c r="C11" t="s">
        <v>45</v>
      </c>
      <c r="D11" s="3">
        <v>135.19230769230768</v>
      </c>
      <c r="E11" s="3">
        <v>136.80000000000001</v>
      </c>
      <c r="F11" s="3">
        <v>131.1</v>
      </c>
      <c r="G11" s="6"/>
      <c r="I11" t="s">
        <v>92</v>
      </c>
      <c r="J11" s="41">
        <f>(D61-D50)/D50</f>
        <v>5.7641075320901181E-2</v>
      </c>
      <c r="K11" s="41">
        <f t="shared" ref="K11:L11" si="3">(E61-E50)/E50</f>
        <v>6.5646908859145842E-2</v>
      </c>
      <c r="L11" s="41">
        <f t="shared" si="3"/>
        <v>6.6916488222698078E-2</v>
      </c>
      <c r="P11" s="21"/>
      <c r="Q11" s="21"/>
      <c r="R11" s="21"/>
      <c r="S11" s="21"/>
      <c r="T11" s="21"/>
      <c r="U11" s="21"/>
      <c r="V11" s="21"/>
      <c r="W11" s="21"/>
    </row>
    <row r="12" spans="1:23" x14ac:dyDescent="0.3">
      <c r="A12" t="s">
        <v>33</v>
      </c>
      <c r="B12">
        <v>2018</v>
      </c>
      <c r="C12" t="s">
        <v>46</v>
      </c>
      <c r="D12" s="3">
        <v>134.35384615384615</v>
      </c>
      <c r="E12" s="3">
        <v>137.30000000000001</v>
      </c>
      <c r="F12" s="3">
        <v>129.98000000000002</v>
      </c>
      <c r="G12" s="6"/>
      <c r="J12" s="6"/>
      <c r="K12" s="6"/>
      <c r="P12" s="21"/>
      <c r="Q12" s="21"/>
      <c r="R12" s="21"/>
      <c r="S12" s="21"/>
      <c r="T12" s="21"/>
      <c r="U12" s="21"/>
      <c r="V12" s="21"/>
      <c r="W12" s="21"/>
    </row>
    <row r="13" spans="1:23" x14ac:dyDescent="0.3">
      <c r="A13" t="s">
        <v>33</v>
      </c>
      <c r="B13">
        <v>2019</v>
      </c>
      <c r="C13" t="s">
        <v>31</v>
      </c>
      <c r="D13" s="3">
        <v>134.17692307692309</v>
      </c>
      <c r="E13" s="3">
        <v>137.80000000000001</v>
      </c>
      <c r="F13" s="3">
        <v>129.41999999999999</v>
      </c>
      <c r="G13" s="6"/>
      <c r="J13" s="6"/>
      <c r="K13" s="6"/>
      <c r="P13" s="21"/>
      <c r="Q13" s="21"/>
      <c r="R13" s="21"/>
      <c r="S13" s="21"/>
      <c r="T13" s="21"/>
      <c r="U13" s="21"/>
      <c r="V13" s="21"/>
      <c r="W13" s="21"/>
    </row>
    <row r="14" spans="1:23" x14ac:dyDescent="0.3">
      <c r="A14" t="s">
        <v>33</v>
      </c>
      <c r="B14">
        <v>2019</v>
      </c>
      <c r="C14" t="s">
        <v>35</v>
      </c>
      <c r="D14" s="3">
        <v>134.95384615384617</v>
      </c>
      <c r="E14" s="3">
        <v>138.5</v>
      </c>
      <c r="F14" s="3">
        <v>129.61999999999998</v>
      </c>
      <c r="G14" s="6"/>
      <c r="J14" s="6"/>
      <c r="K14" s="6"/>
      <c r="P14" s="21"/>
      <c r="Q14" s="21"/>
      <c r="R14" s="21"/>
      <c r="S14" s="21"/>
      <c r="T14" s="21"/>
      <c r="U14" s="21"/>
      <c r="V14" s="21"/>
      <c r="W14" s="21"/>
    </row>
    <row r="16" spans="1:23" x14ac:dyDescent="0.3">
      <c r="B16" s="49" t="s">
        <v>97</v>
      </c>
      <c r="C16" s="49"/>
      <c r="D16" s="49"/>
      <c r="E16" s="49"/>
    </row>
    <row r="17" spans="1:23" x14ac:dyDescent="0.3">
      <c r="A17" s="1" t="s">
        <v>0</v>
      </c>
      <c r="B17" s="1" t="s">
        <v>1</v>
      </c>
      <c r="C17" s="1" t="s">
        <v>2</v>
      </c>
      <c r="D17" s="1" t="s">
        <v>49</v>
      </c>
      <c r="E17" s="1" t="s">
        <v>54</v>
      </c>
      <c r="F17" s="1" t="s">
        <v>52</v>
      </c>
    </row>
    <row r="18" spans="1:23" x14ac:dyDescent="0.3">
      <c r="A18" t="s">
        <v>33</v>
      </c>
      <c r="B18">
        <v>2019</v>
      </c>
      <c r="C18" t="s">
        <v>36</v>
      </c>
      <c r="D18" s="3">
        <v>136.03076923076924</v>
      </c>
      <c r="E18" s="3">
        <v>139.19999999999999</v>
      </c>
      <c r="F18" s="3">
        <v>130.19999999999999</v>
      </c>
    </row>
    <row r="19" spans="1:23" x14ac:dyDescent="0.3">
      <c r="A19" t="s">
        <v>33</v>
      </c>
      <c r="B19">
        <v>2019</v>
      </c>
      <c r="C19" t="s">
        <v>37</v>
      </c>
      <c r="D19" s="3">
        <v>137.62377136752136</v>
      </c>
      <c r="E19" s="3">
        <v>145.31666666666669</v>
      </c>
      <c r="F19" s="3">
        <v>135.55152777777775</v>
      </c>
    </row>
    <row r="20" spans="1:23" x14ac:dyDescent="0.3">
      <c r="A20" t="s">
        <v>33</v>
      </c>
      <c r="B20">
        <v>2019</v>
      </c>
      <c r="C20" t="s">
        <v>38</v>
      </c>
      <c r="D20" s="3">
        <v>139.34615384615387</v>
      </c>
      <c r="E20" s="3">
        <v>139.80000000000001</v>
      </c>
      <c r="F20" s="3">
        <v>130.66000000000003</v>
      </c>
      <c r="R20" s="16" t="s">
        <v>62</v>
      </c>
      <c r="S20" s="1" t="s">
        <v>49</v>
      </c>
      <c r="T20" s="17" t="s">
        <v>100</v>
      </c>
    </row>
    <row r="21" spans="1:23" x14ac:dyDescent="0.3">
      <c r="A21" t="s">
        <v>33</v>
      </c>
      <c r="B21">
        <v>2019</v>
      </c>
      <c r="C21" t="s">
        <v>39</v>
      </c>
      <c r="D21" s="3">
        <v>141.0230769230769</v>
      </c>
      <c r="E21" s="3">
        <v>140.30000000000001</v>
      </c>
      <c r="F21" s="3">
        <v>131.1</v>
      </c>
      <c r="R21" s="16" t="s">
        <v>62</v>
      </c>
      <c r="S21" s="1" t="s">
        <v>54</v>
      </c>
      <c r="T21" s="17" t="s">
        <v>101</v>
      </c>
    </row>
    <row r="22" spans="1:23" x14ac:dyDescent="0.3">
      <c r="A22" t="s">
        <v>33</v>
      </c>
      <c r="B22">
        <v>2019</v>
      </c>
      <c r="C22" t="s">
        <v>40</v>
      </c>
      <c r="D22" s="3">
        <v>142.87692307692308</v>
      </c>
      <c r="E22" s="3">
        <v>140.80000000000001</v>
      </c>
      <c r="F22" s="3">
        <v>131.07999999999998</v>
      </c>
      <c r="R22" s="16" t="s">
        <v>62</v>
      </c>
      <c r="S22" s="1" t="s">
        <v>52</v>
      </c>
      <c r="T22" s="17" t="s">
        <v>102</v>
      </c>
    </row>
    <row r="23" spans="1:23" x14ac:dyDescent="0.3">
      <c r="A23" t="s">
        <v>33</v>
      </c>
      <c r="B23">
        <v>2019</v>
      </c>
      <c r="C23" t="s">
        <v>41</v>
      </c>
      <c r="D23" s="3">
        <v>143.77692307692308</v>
      </c>
      <c r="E23" s="3">
        <v>141.5</v>
      </c>
      <c r="F23" s="3">
        <v>131.52000000000004</v>
      </c>
    </row>
    <row r="24" spans="1:23" x14ac:dyDescent="0.3">
      <c r="A24" t="s">
        <v>33</v>
      </c>
      <c r="B24">
        <v>2019</v>
      </c>
      <c r="C24" t="s">
        <v>42</v>
      </c>
      <c r="D24" s="3">
        <v>144.22307692307692</v>
      </c>
      <c r="E24" s="3">
        <v>141.9</v>
      </c>
      <c r="F24" s="3">
        <v>132.19999999999999</v>
      </c>
    </row>
    <row r="25" spans="1:23" x14ac:dyDescent="0.3">
      <c r="A25" t="s">
        <v>33</v>
      </c>
      <c r="B25">
        <v>2019</v>
      </c>
      <c r="C25" t="s">
        <v>43</v>
      </c>
      <c r="D25" s="3">
        <v>146.35384615384618</v>
      </c>
      <c r="E25" s="3">
        <v>142.4</v>
      </c>
      <c r="F25" s="3">
        <v>132.95999999999998</v>
      </c>
    </row>
    <row r="26" spans="1:23" x14ac:dyDescent="0.3">
      <c r="A26" t="s">
        <v>33</v>
      </c>
      <c r="B26">
        <v>2019</v>
      </c>
      <c r="C26" t="s">
        <v>45</v>
      </c>
      <c r="D26" s="3">
        <v>147.99999999999997</v>
      </c>
      <c r="E26" s="3">
        <v>142.80000000000001</v>
      </c>
      <c r="F26" s="3">
        <v>133.9</v>
      </c>
    </row>
    <row r="27" spans="1:23" x14ac:dyDescent="0.3">
      <c r="A27" t="s">
        <v>33</v>
      </c>
      <c r="B27">
        <v>2019</v>
      </c>
      <c r="C27" t="s">
        <v>46</v>
      </c>
      <c r="D27" s="3">
        <v>150.51538461538462</v>
      </c>
      <c r="E27" s="3">
        <v>143.19999999999999</v>
      </c>
      <c r="F27" s="3">
        <v>135.11999999999998</v>
      </c>
      <c r="G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t="s">
        <v>33</v>
      </c>
      <c r="B28">
        <v>2020</v>
      </c>
      <c r="C28" t="s">
        <v>31</v>
      </c>
      <c r="D28" s="3">
        <v>149.64615384615382</v>
      </c>
      <c r="E28" s="3">
        <v>143.80000000000001</v>
      </c>
      <c r="F28" s="3">
        <v>136.12</v>
      </c>
      <c r="G28" s="6"/>
      <c r="J28" s="6"/>
      <c r="K28" s="6"/>
      <c r="P28" s="6"/>
      <c r="Q28" s="6"/>
      <c r="R28" s="6"/>
      <c r="S28" s="6"/>
      <c r="T28" s="6"/>
      <c r="U28" s="6"/>
      <c r="V28" s="6"/>
      <c r="W28" s="6"/>
    </row>
    <row r="29" spans="1:23" x14ac:dyDescent="0.3">
      <c r="A29" t="s">
        <v>33</v>
      </c>
      <c r="B29">
        <v>2020</v>
      </c>
      <c r="C29" t="s">
        <v>35</v>
      </c>
      <c r="D29" s="3">
        <v>147.43076923076922</v>
      </c>
      <c r="E29" s="3">
        <v>144.4</v>
      </c>
      <c r="F29" s="3">
        <v>137.14000000000001</v>
      </c>
      <c r="G29" s="6"/>
      <c r="J29" s="6"/>
      <c r="K29" s="6"/>
      <c r="P29" s="21"/>
      <c r="Q29" s="21"/>
      <c r="R29" s="21"/>
      <c r="S29" s="21"/>
      <c r="T29" s="21"/>
      <c r="U29" s="21"/>
      <c r="V29" s="21"/>
      <c r="W29" s="21"/>
    </row>
    <row r="30" spans="1:23" x14ac:dyDescent="0.3">
      <c r="G30" s="6"/>
      <c r="J30" s="6"/>
      <c r="K30" s="6"/>
      <c r="P30" s="21"/>
      <c r="Q30" s="21"/>
      <c r="R30" s="21"/>
      <c r="S30" s="21"/>
      <c r="T30" s="21"/>
      <c r="U30" s="21"/>
      <c r="V30" s="21"/>
      <c r="W30" s="21"/>
    </row>
    <row r="31" spans="1:23" x14ac:dyDescent="0.3">
      <c r="G31" s="6"/>
      <c r="J31" s="6"/>
      <c r="K31" s="6"/>
      <c r="P31" s="21"/>
      <c r="Q31" s="21"/>
      <c r="R31" s="21"/>
      <c r="S31" s="21"/>
      <c r="T31" s="21"/>
      <c r="U31" s="21"/>
      <c r="V31" s="21"/>
      <c r="W31" s="21"/>
    </row>
    <row r="32" spans="1:23" x14ac:dyDescent="0.3">
      <c r="B32" s="49" t="s">
        <v>98</v>
      </c>
      <c r="C32" s="49"/>
      <c r="D32" s="49"/>
      <c r="E32" s="49"/>
      <c r="G32" s="6"/>
      <c r="J32" s="6"/>
      <c r="K32" s="6"/>
      <c r="P32" s="21"/>
      <c r="Q32" s="21"/>
      <c r="R32" s="21"/>
      <c r="S32" s="21"/>
      <c r="T32" s="21"/>
      <c r="U32" s="21"/>
      <c r="V32" s="21"/>
      <c r="W32" s="21"/>
    </row>
    <row r="33" spans="1:23" x14ac:dyDescent="0.3">
      <c r="A33" s="1" t="s">
        <v>0</v>
      </c>
      <c r="B33" s="1" t="s">
        <v>1</v>
      </c>
      <c r="C33" s="1" t="s">
        <v>2</v>
      </c>
      <c r="D33" s="1" t="s">
        <v>49</v>
      </c>
      <c r="E33" s="1" t="s">
        <v>54</v>
      </c>
      <c r="F33" s="1" t="s">
        <v>52</v>
      </c>
      <c r="G33" s="6"/>
      <c r="J33" s="6"/>
      <c r="K33" s="6"/>
      <c r="P33" s="21"/>
      <c r="Q33" s="21"/>
      <c r="R33" s="21"/>
      <c r="S33" s="21"/>
      <c r="T33" s="21"/>
      <c r="U33" s="21"/>
      <c r="V33" s="21"/>
      <c r="W33" s="21"/>
    </row>
    <row r="34" spans="1:23" x14ac:dyDescent="0.3">
      <c r="A34" t="s">
        <v>33</v>
      </c>
      <c r="B34">
        <v>2020</v>
      </c>
      <c r="C34" t="s">
        <v>36</v>
      </c>
      <c r="D34" s="3">
        <v>146.03846153846155</v>
      </c>
      <c r="E34" s="3">
        <v>145</v>
      </c>
      <c r="F34" s="3">
        <v>138</v>
      </c>
      <c r="G34" s="6"/>
      <c r="J34" s="6"/>
      <c r="K34" s="6"/>
      <c r="P34" s="21"/>
      <c r="Q34" s="21"/>
      <c r="R34" s="21"/>
      <c r="S34" s="21"/>
      <c r="T34" s="21"/>
      <c r="U34" s="21"/>
      <c r="V34" s="21"/>
      <c r="W34" s="21"/>
    </row>
    <row r="35" spans="1:23" x14ac:dyDescent="0.3">
      <c r="A35" t="s">
        <v>33</v>
      </c>
      <c r="B35">
        <v>2020</v>
      </c>
      <c r="C35" t="s">
        <v>37</v>
      </c>
      <c r="D35" s="3">
        <v>152.19022435897438</v>
      </c>
      <c r="E35" s="3">
        <v>144.80000000000001</v>
      </c>
      <c r="F35" s="3">
        <v>142.00319444444443</v>
      </c>
      <c r="G35" s="6"/>
      <c r="J35" s="6"/>
      <c r="K35" s="6"/>
      <c r="P35" s="21"/>
      <c r="Q35" s="21"/>
      <c r="R35" s="21"/>
      <c r="S35" s="21"/>
      <c r="T35" s="21"/>
      <c r="U35" s="21"/>
      <c r="V35" s="21"/>
      <c r="W35" s="21"/>
    </row>
    <row r="36" spans="1:23" x14ac:dyDescent="0.3">
      <c r="A36" t="s">
        <v>33</v>
      </c>
      <c r="B36">
        <v>2020</v>
      </c>
      <c r="C36" t="s">
        <v>38</v>
      </c>
      <c r="D36" s="3">
        <v>150.59407487164648</v>
      </c>
      <c r="E36" s="3">
        <v>151.95416666666668</v>
      </c>
      <c r="F36" s="3">
        <v>144.04249895511833</v>
      </c>
      <c r="G36" s="6"/>
      <c r="J36" s="6"/>
      <c r="K36" s="6"/>
      <c r="P36" s="21"/>
      <c r="Q36" s="21"/>
      <c r="R36" s="21"/>
      <c r="S36" s="21"/>
      <c r="T36" s="21"/>
      <c r="U36" s="21"/>
      <c r="V36" s="21"/>
      <c r="W36" s="21"/>
    </row>
    <row r="37" spans="1:23" x14ac:dyDescent="0.3">
      <c r="A37" t="s">
        <v>33</v>
      </c>
      <c r="B37">
        <v>2020</v>
      </c>
      <c r="C37" t="s">
        <v>39</v>
      </c>
      <c r="D37" s="3">
        <v>153.46153846153845</v>
      </c>
      <c r="E37" s="3">
        <v>148.1</v>
      </c>
      <c r="F37" s="3">
        <v>140.69999999999999</v>
      </c>
      <c r="G37" s="6"/>
      <c r="J37" s="6"/>
      <c r="K37" s="6"/>
      <c r="P37" s="21"/>
      <c r="Q37" s="21"/>
      <c r="R37" s="21"/>
      <c r="S37" s="21"/>
      <c r="T37" s="21"/>
      <c r="U37" s="21"/>
      <c r="V37" s="21"/>
      <c r="W37" s="21"/>
    </row>
    <row r="38" spans="1:23" x14ac:dyDescent="0.3">
      <c r="A38" t="s">
        <v>33</v>
      </c>
      <c r="B38">
        <v>2020</v>
      </c>
      <c r="C38" t="s">
        <v>40</v>
      </c>
      <c r="D38" s="3">
        <v>153.46153846153845</v>
      </c>
      <c r="E38" s="3">
        <v>148.1</v>
      </c>
      <c r="F38" s="3">
        <v>140.69999999999999</v>
      </c>
      <c r="G38" s="6"/>
      <c r="J38" s="6"/>
      <c r="K38" s="6"/>
      <c r="P38" s="21"/>
      <c r="Q38" s="21"/>
      <c r="R38" s="21"/>
      <c r="S38" s="21"/>
      <c r="T38" s="21"/>
      <c r="U38" s="21"/>
      <c r="V38" s="21"/>
      <c r="W38" s="21"/>
    </row>
    <row r="39" spans="1:23" x14ac:dyDescent="0.3">
      <c r="A39" t="s">
        <v>33</v>
      </c>
      <c r="B39">
        <v>2020</v>
      </c>
      <c r="C39" t="s">
        <v>41</v>
      </c>
      <c r="D39" s="3">
        <v>155.76153846153846</v>
      </c>
      <c r="E39" s="3">
        <v>148.69999999999999</v>
      </c>
      <c r="F39" s="3">
        <v>142.62000000000003</v>
      </c>
      <c r="G39" s="6"/>
      <c r="J39" s="6"/>
      <c r="K39" s="6"/>
      <c r="P39" s="21"/>
      <c r="Q39" s="21"/>
      <c r="R39" s="21"/>
      <c r="S39" s="21"/>
      <c r="T39" s="21"/>
      <c r="U39" s="21"/>
      <c r="V39" s="21"/>
      <c r="W39" s="21"/>
    </row>
    <row r="40" spans="1:23" x14ac:dyDescent="0.3">
      <c r="A40" t="s">
        <v>33</v>
      </c>
      <c r="B40">
        <v>2020</v>
      </c>
      <c r="C40" t="s">
        <v>42</v>
      </c>
      <c r="D40" s="3">
        <v>157.04615384615386</v>
      </c>
      <c r="E40" s="3">
        <v>150</v>
      </c>
      <c r="F40" s="3">
        <v>143.85999999999999</v>
      </c>
    </row>
    <row r="41" spans="1:23" x14ac:dyDescent="0.3">
      <c r="A41" t="s">
        <v>33</v>
      </c>
      <c r="B41">
        <v>2020</v>
      </c>
      <c r="C41" t="s">
        <v>43</v>
      </c>
      <c r="D41" s="3">
        <v>160.01538461538459</v>
      </c>
      <c r="E41" s="3">
        <v>151</v>
      </c>
      <c r="F41" s="3">
        <v>143.54000000000002</v>
      </c>
    </row>
    <row r="42" spans="1:23" x14ac:dyDescent="0.3">
      <c r="A42" t="s">
        <v>33</v>
      </c>
      <c r="B42">
        <v>2020</v>
      </c>
      <c r="C42" t="s">
        <v>45</v>
      </c>
      <c r="D42" s="3">
        <v>163.1307692307692</v>
      </c>
      <c r="E42" s="3">
        <v>152</v>
      </c>
      <c r="F42" s="3">
        <v>143.97999999999999</v>
      </c>
    </row>
    <row r="43" spans="1:23" x14ac:dyDescent="0.3">
      <c r="A43" t="s">
        <v>33</v>
      </c>
      <c r="B43">
        <v>2020</v>
      </c>
      <c r="C43" t="s">
        <v>46</v>
      </c>
      <c r="D43" s="3">
        <v>163.49230769230769</v>
      </c>
      <c r="E43" s="3">
        <v>152.9</v>
      </c>
      <c r="F43" s="3">
        <v>144.22</v>
      </c>
    </row>
    <row r="44" spans="1:23" x14ac:dyDescent="0.3">
      <c r="A44" t="s">
        <v>33</v>
      </c>
      <c r="B44">
        <v>2021</v>
      </c>
      <c r="C44" t="s">
        <v>31</v>
      </c>
      <c r="D44" s="3">
        <v>161.30769230769232</v>
      </c>
      <c r="E44" s="3">
        <v>154.1</v>
      </c>
      <c r="F44" s="3">
        <v>145.71999999999997</v>
      </c>
    </row>
    <row r="45" spans="1:23" x14ac:dyDescent="0.3">
      <c r="A45" t="s">
        <v>33</v>
      </c>
      <c r="B45">
        <v>2021</v>
      </c>
      <c r="C45" t="s">
        <v>35</v>
      </c>
      <c r="D45" s="3">
        <v>158.92307692307693</v>
      </c>
      <c r="E45" s="3">
        <v>156.30000000000001</v>
      </c>
      <c r="F45" s="3">
        <v>148.02000000000004</v>
      </c>
    </row>
    <row r="48" spans="1:23" x14ac:dyDescent="0.3">
      <c r="B48" s="49" t="s">
        <v>99</v>
      </c>
      <c r="C48" s="49"/>
      <c r="D48" s="49"/>
      <c r="E48" s="49"/>
    </row>
    <row r="49" spans="1:23" x14ac:dyDescent="0.3">
      <c r="A49" s="1" t="s">
        <v>0</v>
      </c>
      <c r="B49" s="1" t="s">
        <v>1</v>
      </c>
      <c r="C49" s="1" t="s">
        <v>2</v>
      </c>
      <c r="D49" s="1" t="s">
        <v>49</v>
      </c>
      <c r="E49" s="1" t="s">
        <v>54</v>
      </c>
      <c r="F49" s="1" t="s">
        <v>52</v>
      </c>
    </row>
    <row r="50" spans="1:23" x14ac:dyDescent="0.3">
      <c r="A50" t="s">
        <v>33</v>
      </c>
      <c r="B50">
        <v>2021</v>
      </c>
      <c r="C50" t="s">
        <v>36</v>
      </c>
      <c r="D50" s="3">
        <v>158.80769230769226</v>
      </c>
      <c r="E50" s="3">
        <v>156.9</v>
      </c>
      <c r="F50" s="3">
        <v>149.44</v>
      </c>
    </row>
    <row r="51" spans="1:23" x14ac:dyDescent="0.3">
      <c r="A51" t="s">
        <v>33</v>
      </c>
      <c r="B51">
        <v>2021</v>
      </c>
      <c r="C51" t="s">
        <v>37</v>
      </c>
      <c r="D51" s="3">
        <v>160.73846153846154</v>
      </c>
      <c r="E51" s="3">
        <v>157.5</v>
      </c>
      <c r="F51" s="3">
        <v>150.06</v>
      </c>
    </row>
    <row r="52" spans="1:23" x14ac:dyDescent="0.3">
      <c r="A52" t="s">
        <v>33</v>
      </c>
      <c r="B52">
        <v>2021</v>
      </c>
      <c r="C52" t="s">
        <v>38</v>
      </c>
      <c r="D52" s="3">
        <v>163.43846153846155</v>
      </c>
      <c r="E52" s="3">
        <v>160.4</v>
      </c>
      <c r="F52" s="3">
        <v>152.14000000000001</v>
      </c>
      <c r="G52" s="1"/>
      <c r="J52" s="1"/>
      <c r="K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t="s">
        <v>33</v>
      </c>
      <c r="B53">
        <v>2021</v>
      </c>
      <c r="C53" t="s">
        <v>39</v>
      </c>
      <c r="D53" s="3">
        <v>165.7076923076923</v>
      </c>
      <c r="E53" s="3">
        <v>160.80000000000001</v>
      </c>
      <c r="F53" s="3">
        <v>152.41999999999999</v>
      </c>
      <c r="G53" s="6"/>
      <c r="J53" s="6"/>
      <c r="K53" s="6"/>
      <c r="P53" s="6"/>
      <c r="Q53" s="6"/>
      <c r="R53" s="6"/>
      <c r="S53" s="6"/>
      <c r="T53" s="6"/>
      <c r="U53" s="6"/>
      <c r="V53" s="6"/>
      <c r="W53" s="6"/>
    </row>
    <row r="54" spans="1:23" x14ac:dyDescent="0.3">
      <c r="A54" t="s">
        <v>33</v>
      </c>
      <c r="B54">
        <v>2021</v>
      </c>
      <c r="C54" t="s">
        <v>40</v>
      </c>
      <c r="D54" s="3">
        <v>167.06153846153848</v>
      </c>
      <c r="E54" s="3">
        <v>161.5</v>
      </c>
      <c r="F54" s="3">
        <v>153.73999999999998</v>
      </c>
      <c r="G54" s="6"/>
      <c r="J54" s="6"/>
      <c r="K54" s="6"/>
      <c r="P54" s="21"/>
      <c r="Q54" s="21"/>
      <c r="R54" s="21"/>
      <c r="S54" s="21"/>
      <c r="T54" s="21"/>
      <c r="U54" s="21"/>
      <c r="V54" s="21"/>
      <c r="W54" s="21"/>
    </row>
    <row r="55" spans="1:23" x14ac:dyDescent="0.3">
      <c r="A55" t="s">
        <v>33</v>
      </c>
      <c r="B55">
        <v>2021</v>
      </c>
      <c r="C55" t="s">
        <v>41</v>
      </c>
      <c r="D55" s="3">
        <v>165.99230769230769</v>
      </c>
      <c r="E55" s="3">
        <v>162.80000000000001</v>
      </c>
      <c r="F55" s="3">
        <v>155.52000000000001</v>
      </c>
      <c r="G55" s="6"/>
      <c r="J55" s="6"/>
      <c r="K55" s="6"/>
      <c r="P55" s="21"/>
      <c r="Q55" s="21"/>
      <c r="R55" s="21"/>
      <c r="S55" s="21"/>
      <c r="T55" s="21"/>
      <c r="U55" s="21"/>
      <c r="V55" s="21"/>
      <c r="W55" s="21"/>
    </row>
    <row r="56" spans="1:23" x14ac:dyDescent="0.3">
      <c r="A56" t="s">
        <v>33</v>
      </c>
      <c r="B56">
        <v>2021</v>
      </c>
      <c r="C56" t="s">
        <v>42</v>
      </c>
      <c r="D56" s="3">
        <v>165.99230769230769</v>
      </c>
      <c r="E56" s="3">
        <v>162.80000000000001</v>
      </c>
      <c r="F56" s="3">
        <v>155.62</v>
      </c>
      <c r="G56" s="6"/>
      <c r="J56" s="6"/>
      <c r="K56" s="6"/>
      <c r="P56" s="21"/>
      <c r="Q56" s="21"/>
      <c r="R56" s="21"/>
      <c r="S56" s="21"/>
      <c r="T56" s="21"/>
      <c r="U56" s="21"/>
      <c r="V56" s="21"/>
      <c r="W56" s="21"/>
    </row>
    <row r="57" spans="1:23" x14ac:dyDescent="0.3">
      <c r="A57" t="s">
        <v>33</v>
      </c>
      <c r="B57">
        <v>2021</v>
      </c>
      <c r="C57" t="s">
        <v>43</v>
      </c>
      <c r="D57" s="3">
        <v>169.10769230769236</v>
      </c>
      <c r="E57" s="3">
        <v>163.5</v>
      </c>
      <c r="F57" s="3">
        <v>156.82</v>
      </c>
      <c r="G57" s="6"/>
      <c r="J57" s="6"/>
      <c r="K57" s="6"/>
      <c r="P57" s="21"/>
      <c r="Q57" s="21"/>
      <c r="R57" s="21"/>
      <c r="S57" s="21"/>
      <c r="T57" s="21"/>
      <c r="U57" s="21"/>
      <c r="V57" s="21"/>
      <c r="W57" s="21"/>
    </row>
    <row r="58" spans="1:23" x14ac:dyDescent="0.3">
      <c r="A58" t="s">
        <v>33</v>
      </c>
      <c r="B58">
        <v>2021</v>
      </c>
      <c r="C58" t="s">
        <v>45</v>
      </c>
      <c r="D58" s="3">
        <v>170.60769230769228</v>
      </c>
      <c r="E58" s="3">
        <v>164.2</v>
      </c>
      <c r="F58" s="3">
        <v>157.30000000000001</v>
      </c>
      <c r="G58" s="6"/>
      <c r="J58" s="6"/>
      <c r="K58" s="6"/>
      <c r="P58" s="21"/>
      <c r="Q58" s="21"/>
      <c r="R58" s="21"/>
      <c r="S58" s="21"/>
      <c r="T58" s="21"/>
      <c r="U58" s="21"/>
      <c r="V58" s="21"/>
      <c r="W58" s="21"/>
    </row>
    <row r="59" spans="1:23" x14ac:dyDescent="0.3">
      <c r="A59" t="s">
        <v>33</v>
      </c>
      <c r="B59">
        <v>2021</v>
      </c>
      <c r="C59" t="s">
        <v>46</v>
      </c>
      <c r="D59" s="3">
        <v>169.71538461538464</v>
      </c>
      <c r="E59" s="3">
        <v>165.1</v>
      </c>
      <c r="F59" s="3">
        <v>157.9</v>
      </c>
      <c r="G59" s="6"/>
      <c r="J59" s="6"/>
      <c r="K59" s="6"/>
      <c r="P59" s="21"/>
      <c r="Q59" s="21"/>
      <c r="R59" s="21"/>
      <c r="S59" s="21"/>
      <c r="T59" s="21"/>
      <c r="U59" s="21"/>
      <c r="V59" s="21"/>
      <c r="W59" s="21"/>
    </row>
    <row r="60" spans="1:23" x14ac:dyDescent="0.3">
      <c r="A60" t="s">
        <v>33</v>
      </c>
      <c r="B60">
        <v>2022</v>
      </c>
      <c r="C60" t="s">
        <v>31</v>
      </c>
      <c r="D60" s="3">
        <v>168.2076923076923</v>
      </c>
      <c r="E60" s="3">
        <v>166.1</v>
      </c>
      <c r="F60" s="3">
        <v>158.45999999999998</v>
      </c>
      <c r="G60" s="6"/>
      <c r="J60" s="6"/>
      <c r="K60" s="6"/>
      <c r="P60" s="21"/>
      <c r="Q60" s="21"/>
      <c r="R60" s="21"/>
      <c r="S60" s="21"/>
      <c r="T60" s="21"/>
      <c r="U60" s="21"/>
      <c r="V60" s="21"/>
      <c r="W60" s="21"/>
    </row>
    <row r="61" spans="1:23" x14ac:dyDescent="0.3">
      <c r="A61" t="s">
        <v>33</v>
      </c>
      <c r="B61">
        <v>2022</v>
      </c>
      <c r="C61" t="s">
        <v>35</v>
      </c>
      <c r="D61" s="3">
        <v>167.96153846153845</v>
      </c>
      <c r="E61" s="3">
        <v>167.2</v>
      </c>
      <c r="F61" s="3">
        <v>159.44</v>
      </c>
      <c r="G61" s="6"/>
      <c r="J61" s="6"/>
      <c r="K61" s="6"/>
      <c r="P61" s="21"/>
      <c r="Q61" s="21"/>
      <c r="R61" s="21"/>
      <c r="S61" s="21"/>
      <c r="T61" s="21"/>
      <c r="U61" s="21"/>
      <c r="V61" s="21"/>
      <c r="W61" s="21"/>
    </row>
    <row r="62" spans="1:23" x14ac:dyDescent="0.3">
      <c r="G62" s="6"/>
      <c r="J62" s="6"/>
      <c r="K62" s="6"/>
      <c r="P62" s="21"/>
      <c r="Q62" s="21"/>
      <c r="R62" s="21"/>
      <c r="S62" s="21"/>
      <c r="T62" s="21"/>
      <c r="U62" s="21"/>
      <c r="V62" s="21"/>
      <c r="W62" s="21"/>
    </row>
    <row r="63" spans="1:23" x14ac:dyDescent="0.3">
      <c r="G63" s="6"/>
      <c r="J63" s="6"/>
      <c r="K63" s="6"/>
      <c r="P63" s="21"/>
      <c r="Q63" s="21"/>
      <c r="R63" s="21"/>
      <c r="S63" s="21"/>
      <c r="T63" s="21"/>
      <c r="U63" s="21"/>
      <c r="V63" s="21"/>
      <c r="W63" s="21"/>
    </row>
    <row r="64" spans="1:23" x14ac:dyDescent="0.3">
      <c r="G64" s="6"/>
      <c r="J64" s="6"/>
      <c r="K64" s="6"/>
      <c r="P64" s="21"/>
      <c r="Q64" s="21"/>
      <c r="R64" s="21"/>
      <c r="S64" s="21"/>
      <c r="T64" s="21"/>
      <c r="U64" s="21"/>
      <c r="V64" s="21"/>
      <c r="W64" s="21"/>
    </row>
    <row r="78" spans="7:23" x14ac:dyDescent="0.3">
      <c r="G78" s="1"/>
      <c r="J78" s="1"/>
      <c r="K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7:23" x14ac:dyDescent="0.3">
      <c r="G79" s="6"/>
      <c r="J79" s="6"/>
      <c r="K79" s="6"/>
      <c r="P79" s="6"/>
      <c r="Q79" s="6"/>
      <c r="R79" s="6"/>
      <c r="S79" s="6"/>
      <c r="T79" s="6"/>
      <c r="U79" s="6"/>
      <c r="V79" s="6"/>
      <c r="W79" s="6"/>
    </row>
    <row r="80" spans="7:23" x14ac:dyDescent="0.3">
      <c r="G80" s="6"/>
      <c r="J80" s="6"/>
      <c r="K80" s="6"/>
      <c r="P80" s="21"/>
      <c r="Q80" s="21"/>
      <c r="R80" s="21"/>
      <c r="S80" s="21"/>
      <c r="T80" s="21"/>
      <c r="U80" s="21"/>
      <c r="V80" s="21"/>
      <c r="W80" s="21"/>
    </row>
    <row r="81" spans="7:23" x14ac:dyDescent="0.3">
      <c r="G81" s="6"/>
      <c r="J81" s="6"/>
      <c r="K81" s="6"/>
      <c r="P81" s="21"/>
      <c r="Q81" s="21"/>
      <c r="R81" s="21"/>
      <c r="S81" s="21"/>
      <c r="T81" s="21"/>
      <c r="U81" s="21"/>
      <c r="V81" s="21"/>
      <c r="W81" s="21"/>
    </row>
    <row r="82" spans="7:23" x14ac:dyDescent="0.3">
      <c r="G82" s="6"/>
      <c r="J82" s="6"/>
      <c r="K82" s="6"/>
      <c r="P82" s="21"/>
      <c r="Q82" s="21"/>
      <c r="R82" s="21"/>
      <c r="S82" s="21"/>
      <c r="T82" s="21"/>
      <c r="U82" s="21"/>
      <c r="V82" s="21"/>
      <c r="W82" s="21"/>
    </row>
    <row r="83" spans="7:23" x14ac:dyDescent="0.3">
      <c r="G83" s="6"/>
      <c r="J83" s="6"/>
      <c r="K83" s="6"/>
      <c r="P83" s="21"/>
      <c r="Q83" s="21"/>
      <c r="R83" s="21"/>
      <c r="S83" s="21"/>
      <c r="T83" s="21"/>
      <c r="U83" s="21"/>
      <c r="V83" s="21"/>
      <c r="W83" s="21"/>
    </row>
    <row r="84" spans="7:23" x14ac:dyDescent="0.3">
      <c r="G84" s="6"/>
      <c r="J84" s="6"/>
      <c r="K84" s="6"/>
      <c r="P84" s="21"/>
      <c r="Q84" s="21"/>
      <c r="R84" s="21"/>
      <c r="S84" s="21"/>
      <c r="T84" s="21"/>
      <c r="U84" s="21"/>
      <c r="V84" s="21"/>
      <c r="W84" s="21"/>
    </row>
    <row r="85" spans="7:23" x14ac:dyDescent="0.3">
      <c r="G85" s="6"/>
      <c r="J85" s="6"/>
      <c r="K85" s="6"/>
      <c r="P85" s="21"/>
      <c r="Q85" s="21"/>
      <c r="R85" s="21"/>
      <c r="S85" s="21"/>
      <c r="T85" s="21"/>
      <c r="U85" s="21"/>
      <c r="V85" s="21"/>
      <c r="W85" s="21"/>
    </row>
    <row r="86" spans="7:23" x14ac:dyDescent="0.3">
      <c r="G86" s="6"/>
      <c r="J86" s="6"/>
      <c r="K86" s="6"/>
      <c r="P86" s="21"/>
      <c r="Q86" s="21"/>
      <c r="R86" s="21"/>
      <c r="S86" s="21"/>
      <c r="T86" s="21"/>
      <c r="U86" s="21"/>
      <c r="V86" s="21"/>
      <c r="W86" s="21"/>
    </row>
    <row r="87" spans="7:23" x14ac:dyDescent="0.3">
      <c r="G87" s="6"/>
      <c r="J87" s="6"/>
      <c r="K87" s="6"/>
      <c r="P87" s="21"/>
      <c r="Q87" s="21"/>
      <c r="R87" s="21"/>
      <c r="S87" s="21"/>
      <c r="T87" s="21"/>
      <c r="U87" s="21"/>
      <c r="V87" s="21"/>
      <c r="W87" s="21"/>
    </row>
    <row r="88" spans="7:23" x14ac:dyDescent="0.3">
      <c r="G88" s="6"/>
      <c r="J88" s="6"/>
      <c r="K88" s="6"/>
      <c r="P88" s="21"/>
      <c r="Q88" s="21"/>
      <c r="R88" s="21"/>
      <c r="S88" s="21"/>
      <c r="T88" s="21"/>
      <c r="U88" s="21"/>
      <c r="V88" s="21"/>
      <c r="W88" s="21"/>
    </row>
    <row r="89" spans="7:23" x14ac:dyDescent="0.3">
      <c r="G89" s="6"/>
      <c r="J89" s="6"/>
      <c r="K89" s="6"/>
      <c r="P89" s="21"/>
      <c r="Q89" s="21"/>
      <c r="R89" s="21"/>
      <c r="S89" s="21"/>
      <c r="T89" s="21"/>
      <c r="U89" s="21"/>
      <c r="V89" s="21"/>
      <c r="W89" s="21"/>
    </row>
    <row r="90" spans="7:23" x14ac:dyDescent="0.3">
      <c r="G90" s="6"/>
      <c r="J90" s="6"/>
      <c r="K90" s="6"/>
      <c r="P90" s="21"/>
      <c r="Q90" s="21"/>
      <c r="R90" s="21"/>
      <c r="S90" s="21"/>
      <c r="T90" s="21"/>
      <c r="U90" s="21"/>
      <c r="V90" s="21"/>
      <c r="W90" s="21"/>
    </row>
  </sheetData>
  <mergeCells count="5">
    <mergeCell ref="I6:L6"/>
    <mergeCell ref="B1:E1"/>
    <mergeCell ref="B16:E16"/>
    <mergeCell ref="B32:E32"/>
    <mergeCell ref="B48:E48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3675-C116-4B2F-9603-01E86D14C328}">
  <dimension ref="A1:W87"/>
  <sheetViews>
    <sheetView topLeftCell="B61" workbookViewId="0">
      <selection activeCell="U54" sqref="U54"/>
    </sheetView>
  </sheetViews>
  <sheetFormatPr defaultRowHeight="14.4" x14ac:dyDescent="0.3"/>
  <cols>
    <col min="1" max="1" width="11.109375" bestFit="1" customWidth="1"/>
    <col min="2" max="2" width="5" bestFit="1" customWidth="1"/>
    <col min="3" max="3" width="9.77734375" bestFit="1" customWidth="1"/>
    <col min="4" max="4" width="11.44140625" bestFit="1" customWidth="1"/>
    <col min="5" max="5" width="12" bestFit="1" customWidth="1"/>
  </cols>
  <sheetData>
    <row r="1" spans="1:23" x14ac:dyDescent="0.3">
      <c r="A1" s="49" t="s">
        <v>111</v>
      </c>
      <c r="B1" s="49"/>
      <c r="C1" s="49"/>
      <c r="D1" s="49"/>
      <c r="E1" s="49"/>
    </row>
    <row r="2" spans="1:23" x14ac:dyDescent="0.3">
      <c r="A2" t="s">
        <v>0</v>
      </c>
      <c r="B2" t="s">
        <v>1</v>
      </c>
      <c r="C2" t="s">
        <v>2</v>
      </c>
      <c r="D2" t="s">
        <v>21</v>
      </c>
      <c r="E2" t="s">
        <v>29</v>
      </c>
    </row>
    <row r="3" spans="1:23" x14ac:dyDescent="0.3">
      <c r="A3" t="s">
        <v>30</v>
      </c>
      <c r="B3">
        <v>2021</v>
      </c>
      <c r="C3" t="s">
        <v>39</v>
      </c>
      <c r="D3">
        <v>162.1</v>
      </c>
      <c r="E3">
        <v>162.1</v>
      </c>
    </row>
    <row r="4" spans="1:23" x14ac:dyDescent="0.3">
      <c r="A4" t="s">
        <v>30</v>
      </c>
      <c r="B4">
        <v>2021</v>
      </c>
      <c r="C4" t="s">
        <v>40</v>
      </c>
      <c r="D4">
        <v>162.5</v>
      </c>
      <c r="E4">
        <v>163.19999999999999</v>
      </c>
    </row>
    <row r="5" spans="1:23" x14ac:dyDescent="0.3">
      <c r="A5" t="s">
        <v>30</v>
      </c>
      <c r="B5">
        <v>2021</v>
      </c>
      <c r="C5" t="s">
        <v>41</v>
      </c>
      <c r="D5">
        <v>163.1</v>
      </c>
      <c r="E5">
        <v>163.6</v>
      </c>
    </row>
    <row r="6" spans="1:23" ht="14.4" customHeight="1" x14ac:dyDescent="0.3">
      <c r="A6" t="s">
        <v>30</v>
      </c>
      <c r="B6">
        <v>2021</v>
      </c>
      <c r="C6" t="s">
        <v>42</v>
      </c>
      <c r="D6">
        <v>163.69999999999999</v>
      </c>
      <c r="E6">
        <v>164</v>
      </c>
      <c r="U6" s="50" t="s">
        <v>129</v>
      </c>
      <c r="V6" s="50"/>
      <c r="W6" s="50"/>
    </row>
    <row r="7" spans="1:23" x14ac:dyDescent="0.3">
      <c r="A7" t="s">
        <v>30</v>
      </c>
      <c r="B7">
        <v>2021</v>
      </c>
      <c r="C7" t="s">
        <v>43</v>
      </c>
      <c r="D7">
        <v>165.5</v>
      </c>
      <c r="E7">
        <v>166.3</v>
      </c>
      <c r="U7" s="50"/>
      <c r="V7" s="50"/>
      <c r="W7" s="50"/>
    </row>
    <row r="8" spans="1:23" x14ac:dyDescent="0.3">
      <c r="A8" t="s">
        <v>30</v>
      </c>
      <c r="B8">
        <v>2021</v>
      </c>
      <c r="C8" t="s">
        <v>45</v>
      </c>
      <c r="D8">
        <v>165.3</v>
      </c>
      <c r="E8">
        <v>167.6</v>
      </c>
      <c r="U8" s="50"/>
      <c r="V8" s="50"/>
      <c r="W8" s="50"/>
    </row>
    <row r="9" spans="1:23" x14ac:dyDescent="0.3">
      <c r="A9" t="s">
        <v>30</v>
      </c>
      <c r="B9">
        <v>2021</v>
      </c>
      <c r="C9" t="s">
        <v>46</v>
      </c>
      <c r="D9">
        <v>165.6</v>
      </c>
      <c r="E9">
        <v>167</v>
      </c>
      <c r="U9" s="50"/>
      <c r="V9" s="50"/>
      <c r="W9" s="50"/>
    </row>
    <row r="10" spans="1:23" x14ac:dyDescent="0.3">
      <c r="A10" t="s">
        <v>30</v>
      </c>
      <c r="B10">
        <v>2022</v>
      </c>
      <c r="C10" t="s">
        <v>31</v>
      </c>
      <c r="D10">
        <v>165.8</v>
      </c>
      <c r="E10">
        <v>166.4</v>
      </c>
    </row>
    <row r="11" spans="1:23" x14ac:dyDescent="0.3">
      <c r="A11" t="s">
        <v>30</v>
      </c>
      <c r="B11">
        <v>2022</v>
      </c>
      <c r="C11" t="s">
        <v>35</v>
      </c>
      <c r="D11">
        <v>167.4</v>
      </c>
      <c r="E11">
        <v>166.7</v>
      </c>
    </row>
    <row r="12" spans="1:23" x14ac:dyDescent="0.3">
      <c r="A12" t="s">
        <v>30</v>
      </c>
      <c r="B12">
        <v>2022</v>
      </c>
      <c r="C12" t="s">
        <v>36</v>
      </c>
      <c r="D12">
        <v>168.9</v>
      </c>
      <c r="E12">
        <v>168.7</v>
      </c>
    </row>
    <row r="13" spans="1:23" x14ac:dyDescent="0.3">
      <c r="A13" t="s">
        <v>30</v>
      </c>
      <c r="B13">
        <v>2022</v>
      </c>
      <c r="C13" t="s">
        <v>37</v>
      </c>
      <c r="D13">
        <v>173.3</v>
      </c>
      <c r="E13">
        <v>170.8</v>
      </c>
    </row>
    <row r="14" spans="1:23" x14ac:dyDescent="0.3">
      <c r="A14" t="s">
        <v>30</v>
      </c>
      <c r="B14">
        <v>2022</v>
      </c>
      <c r="C14" t="s">
        <v>38</v>
      </c>
      <c r="D14">
        <v>175.3</v>
      </c>
      <c r="E14">
        <v>172.5</v>
      </c>
    </row>
    <row r="15" spans="1:23" x14ac:dyDescent="0.3">
      <c r="A15" t="s">
        <v>30</v>
      </c>
      <c r="B15">
        <v>2022</v>
      </c>
      <c r="C15" t="s">
        <v>39</v>
      </c>
      <c r="D15">
        <v>176.7</v>
      </c>
      <c r="E15">
        <v>173.6</v>
      </c>
    </row>
    <row r="16" spans="1:23" x14ac:dyDescent="0.3">
      <c r="A16" t="s">
        <v>30</v>
      </c>
      <c r="B16">
        <v>2022</v>
      </c>
      <c r="C16" t="s">
        <v>40</v>
      </c>
      <c r="D16">
        <v>179.6</v>
      </c>
      <c r="E16">
        <v>174.3</v>
      </c>
    </row>
    <row r="17" spans="1:5" x14ac:dyDescent="0.3">
      <c r="A17" t="s">
        <v>30</v>
      </c>
      <c r="B17">
        <v>2022</v>
      </c>
      <c r="C17" t="s">
        <v>41</v>
      </c>
      <c r="D17">
        <v>179.1</v>
      </c>
      <c r="E17">
        <v>175.3</v>
      </c>
    </row>
    <row r="18" spans="1:5" x14ac:dyDescent="0.3">
      <c r="A18" t="s">
        <v>30</v>
      </c>
      <c r="B18">
        <v>2022</v>
      </c>
      <c r="C18" t="s">
        <v>42</v>
      </c>
      <c r="D18">
        <v>179.7</v>
      </c>
      <c r="E18">
        <v>176.4</v>
      </c>
    </row>
    <row r="19" spans="1:5" x14ac:dyDescent="0.3">
      <c r="A19" t="s">
        <v>30</v>
      </c>
      <c r="B19">
        <v>2022</v>
      </c>
      <c r="C19" t="s">
        <v>43</v>
      </c>
      <c r="D19">
        <v>180.8</v>
      </c>
      <c r="E19">
        <v>177.9</v>
      </c>
    </row>
    <row r="20" spans="1:5" x14ac:dyDescent="0.3">
      <c r="A20" t="s">
        <v>30</v>
      </c>
      <c r="B20">
        <v>2022</v>
      </c>
      <c r="C20" t="s">
        <v>45</v>
      </c>
      <c r="D20">
        <v>181.9</v>
      </c>
      <c r="E20">
        <v>177.8</v>
      </c>
    </row>
    <row r="21" spans="1:5" x14ac:dyDescent="0.3">
      <c r="A21" t="s">
        <v>30</v>
      </c>
      <c r="B21">
        <v>2022</v>
      </c>
      <c r="C21" t="s">
        <v>46</v>
      </c>
      <c r="D21">
        <v>182.8</v>
      </c>
      <c r="E21">
        <v>177.1</v>
      </c>
    </row>
    <row r="22" spans="1:5" x14ac:dyDescent="0.3">
      <c r="A22" t="s">
        <v>30</v>
      </c>
      <c r="B22">
        <v>2023</v>
      </c>
      <c r="C22" t="s">
        <v>31</v>
      </c>
      <c r="D22">
        <v>183.2</v>
      </c>
      <c r="E22">
        <v>177.8</v>
      </c>
    </row>
    <row r="23" spans="1:5" x14ac:dyDescent="0.3">
      <c r="A23" t="s">
        <v>30</v>
      </c>
      <c r="B23">
        <v>2023</v>
      </c>
      <c r="C23" t="s">
        <v>35</v>
      </c>
      <c r="D23">
        <v>181.6</v>
      </c>
      <c r="E23">
        <v>178</v>
      </c>
    </row>
    <row r="24" spans="1:5" x14ac:dyDescent="0.3">
      <c r="A24" t="s">
        <v>30</v>
      </c>
      <c r="B24">
        <v>2023</v>
      </c>
      <c r="C24" t="s">
        <v>36</v>
      </c>
      <c r="D24">
        <v>181.4</v>
      </c>
      <c r="E24">
        <v>178</v>
      </c>
    </row>
    <row r="25" spans="1:5" x14ac:dyDescent="0.3">
      <c r="A25" t="s">
        <v>30</v>
      </c>
      <c r="B25">
        <v>2023</v>
      </c>
      <c r="C25" t="s">
        <v>37</v>
      </c>
      <c r="D25">
        <v>181.5</v>
      </c>
      <c r="E25">
        <v>178.8</v>
      </c>
    </row>
    <row r="26" spans="1:5" x14ac:dyDescent="0.3">
      <c r="A26" t="s">
        <v>30</v>
      </c>
      <c r="B26">
        <v>2023</v>
      </c>
      <c r="C26" t="s">
        <v>38</v>
      </c>
      <c r="D26">
        <v>182.5</v>
      </c>
      <c r="E26">
        <v>179.8</v>
      </c>
    </row>
    <row r="32" spans="1:5" x14ac:dyDescent="0.3">
      <c r="A32" s="49" t="s">
        <v>110</v>
      </c>
      <c r="B32" s="49"/>
      <c r="C32" s="49"/>
      <c r="D32" s="49"/>
      <c r="E32" s="49"/>
    </row>
    <row r="33" spans="1:23" x14ac:dyDescent="0.3">
      <c r="A33" t="s">
        <v>0</v>
      </c>
      <c r="B33" t="s">
        <v>1</v>
      </c>
      <c r="C33" t="s">
        <v>2</v>
      </c>
      <c r="D33" t="s">
        <v>21</v>
      </c>
      <c r="E33" t="s">
        <v>29</v>
      </c>
    </row>
    <row r="34" spans="1:23" x14ac:dyDescent="0.3">
      <c r="A34" t="s">
        <v>34</v>
      </c>
      <c r="B34">
        <v>2021</v>
      </c>
      <c r="C34" t="s">
        <v>39</v>
      </c>
      <c r="D34">
        <v>159.80000000000001</v>
      </c>
      <c r="E34">
        <v>161.30000000000001</v>
      </c>
    </row>
    <row r="35" spans="1:23" x14ac:dyDescent="0.3">
      <c r="A35" t="s">
        <v>34</v>
      </c>
      <c r="B35">
        <v>2021</v>
      </c>
      <c r="C35" t="s">
        <v>40</v>
      </c>
      <c r="D35">
        <v>160.69999999999999</v>
      </c>
      <c r="E35">
        <v>162.5</v>
      </c>
      <c r="U35" s="50" t="s">
        <v>129</v>
      </c>
      <c r="V35" s="50"/>
      <c r="W35" s="50"/>
    </row>
    <row r="36" spans="1:23" x14ac:dyDescent="0.3">
      <c r="A36" t="s">
        <v>34</v>
      </c>
      <c r="B36">
        <v>2021</v>
      </c>
      <c r="C36" t="s">
        <v>41</v>
      </c>
      <c r="D36">
        <v>162.6</v>
      </c>
      <c r="E36">
        <v>163.19999999999999</v>
      </c>
      <c r="U36" s="50"/>
      <c r="V36" s="50"/>
      <c r="W36" s="50"/>
    </row>
    <row r="37" spans="1:23" x14ac:dyDescent="0.3">
      <c r="A37" t="s">
        <v>34</v>
      </c>
      <c r="B37">
        <v>2021</v>
      </c>
      <c r="C37" t="s">
        <v>42</v>
      </c>
      <c r="D37">
        <v>162.6</v>
      </c>
      <c r="E37">
        <v>163.19999999999999</v>
      </c>
      <c r="U37" s="50"/>
      <c r="V37" s="50"/>
      <c r="W37" s="50"/>
    </row>
    <row r="38" spans="1:23" x14ac:dyDescent="0.3">
      <c r="A38" t="s">
        <v>34</v>
      </c>
      <c r="B38">
        <v>2021</v>
      </c>
      <c r="C38" t="s">
        <v>43</v>
      </c>
      <c r="D38">
        <v>164.2</v>
      </c>
      <c r="E38">
        <v>165.5</v>
      </c>
      <c r="U38" s="50"/>
      <c r="V38" s="50"/>
      <c r="W38" s="50"/>
    </row>
    <row r="39" spans="1:23" x14ac:dyDescent="0.3">
      <c r="A39" t="s">
        <v>34</v>
      </c>
      <c r="B39">
        <v>2021</v>
      </c>
      <c r="C39" t="s">
        <v>45</v>
      </c>
      <c r="D39">
        <v>163.9</v>
      </c>
      <c r="E39">
        <v>166.7</v>
      </c>
    </row>
    <row r="40" spans="1:23" x14ac:dyDescent="0.3">
      <c r="A40" t="s">
        <v>34</v>
      </c>
      <c r="B40">
        <v>2021</v>
      </c>
      <c r="C40" t="s">
        <v>46</v>
      </c>
      <c r="D40">
        <v>164.1</v>
      </c>
      <c r="E40">
        <v>166.2</v>
      </c>
    </row>
    <row r="41" spans="1:23" x14ac:dyDescent="0.3">
      <c r="A41" t="s">
        <v>34</v>
      </c>
      <c r="B41">
        <v>2022</v>
      </c>
      <c r="C41" t="s">
        <v>31</v>
      </c>
      <c r="D41">
        <v>164.2</v>
      </c>
      <c r="E41">
        <v>165.7</v>
      </c>
    </row>
    <row r="42" spans="1:23" x14ac:dyDescent="0.3">
      <c r="A42" t="s">
        <v>34</v>
      </c>
      <c r="B42">
        <v>2022</v>
      </c>
      <c r="C42" t="s">
        <v>35</v>
      </c>
      <c r="D42">
        <v>165.7</v>
      </c>
      <c r="E42">
        <v>166.1</v>
      </c>
    </row>
    <row r="43" spans="1:23" x14ac:dyDescent="0.3">
      <c r="A43" t="s">
        <v>34</v>
      </c>
      <c r="B43">
        <v>2022</v>
      </c>
      <c r="C43" t="s">
        <v>36</v>
      </c>
      <c r="D43">
        <v>167.2</v>
      </c>
      <c r="E43">
        <v>167.7</v>
      </c>
    </row>
    <row r="44" spans="1:23" x14ac:dyDescent="0.3">
      <c r="A44" t="s">
        <v>34</v>
      </c>
      <c r="B44">
        <v>2022</v>
      </c>
      <c r="C44" t="s">
        <v>37</v>
      </c>
      <c r="D44">
        <v>172.2</v>
      </c>
      <c r="E44">
        <v>170.1</v>
      </c>
    </row>
    <row r="45" spans="1:23" x14ac:dyDescent="0.3">
      <c r="A45" t="s">
        <v>34</v>
      </c>
      <c r="B45">
        <v>2022</v>
      </c>
      <c r="C45" t="s">
        <v>38</v>
      </c>
      <c r="D45">
        <v>174.6</v>
      </c>
      <c r="E45">
        <v>171.7</v>
      </c>
    </row>
    <row r="46" spans="1:23" x14ac:dyDescent="0.3">
      <c r="A46" t="s">
        <v>34</v>
      </c>
      <c r="B46">
        <v>2022</v>
      </c>
      <c r="C46" t="s">
        <v>39</v>
      </c>
      <c r="D46">
        <v>176</v>
      </c>
      <c r="E46">
        <v>172.6</v>
      </c>
    </row>
    <row r="47" spans="1:23" x14ac:dyDescent="0.3">
      <c r="A47" t="s">
        <v>34</v>
      </c>
      <c r="B47">
        <v>2022</v>
      </c>
      <c r="C47" t="s">
        <v>40</v>
      </c>
      <c r="D47">
        <v>179.6</v>
      </c>
      <c r="E47">
        <v>173.4</v>
      </c>
    </row>
    <row r="48" spans="1:23" x14ac:dyDescent="0.3">
      <c r="A48" t="s">
        <v>34</v>
      </c>
      <c r="B48">
        <v>2022</v>
      </c>
      <c r="C48" t="s">
        <v>41</v>
      </c>
      <c r="D48">
        <v>178.8</v>
      </c>
      <c r="E48">
        <v>174.3</v>
      </c>
    </row>
    <row r="49" spans="1:5" x14ac:dyDescent="0.3">
      <c r="A49" t="s">
        <v>34</v>
      </c>
      <c r="B49">
        <v>2022</v>
      </c>
      <c r="C49" t="s">
        <v>42</v>
      </c>
      <c r="D49">
        <v>179.5</v>
      </c>
      <c r="E49">
        <v>175.3</v>
      </c>
    </row>
    <row r="50" spans="1:5" x14ac:dyDescent="0.3">
      <c r="A50" t="s">
        <v>34</v>
      </c>
      <c r="B50">
        <v>2022</v>
      </c>
      <c r="C50" t="s">
        <v>43</v>
      </c>
      <c r="D50">
        <v>180.5</v>
      </c>
      <c r="E50">
        <v>176.7</v>
      </c>
    </row>
    <row r="51" spans="1:5" x14ac:dyDescent="0.3">
      <c r="A51" t="s">
        <v>34</v>
      </c>
      <c r="B51">
        <v>2022</v>
      </c>
      <c r="C51" t="s">
        <v>45</v>
      </c>
      <c r="D51">
        <v>181.3</v>
      </c>
      <c r="E51">
        <v>176.5</v>
      </c>
    </row>
    <row r="52" spans="1:5" x14ac:dyDescent="0.3">
      <c r="A52" t="s">
        <v>34</v>
      </c>
      <c r="B52">
        <v>2022</v>
      </c>
      <c r="C52" t="s">
        <v>46</v>
      </c>
      <c r="D52">
        <v>182</v>
      </c>
      <c r="E52">
        <v>175.7</v>
      </c>
    </row>
    <row r="53" spans="1:5" x14ac:dyDescent="0.3">
      <c r="A53" t="s">
        <v>34</v>
      </c>
      <c r="B53">
        <v>2023</v>
      </c>
      <c r="C53" t="s">
        <v>31</v>
      </c>
      <c r="D53">
        <v>182</v>
      </c>
      <c r="E53">
        <v>176.5</v>
      </c>
    </row>
    <row r="54" spans="1:5" x14ac:dyDescent="0.3">
      <c r="A54" t="s">
        <v>34</v>
      </c>
      <c r="B54">
        <v>2023</v>
      </c>
      <c r="C54" t="s">
        <v>35</v>
      </c>
      <c r="D54">
        <v>182.1</v>
      </c>
      <c r="E54">
        <v>177.2</v>
      </c>
    </row>
    <row r="55" spans="1:5" x14ac:dyDescent="0.3">
      <c r="A55" t="s">
        <v>34</v>
      </c>
      <c r="B55">
        <v>2023</v>
      </c>
      <c r="C55" t="s">
        <v>36</v>
      </c>
      <c r="D55">
        <v>181.9</v>
      </c>
      <c r="E55">
        <v>177.2</v>
      </c>
    </row>
    <row r="56" spans="1:5" x14ac:dyDescent="0.3">
      <c r="A56" t="s">
        <v>34</v>
      </c>
      <c r="B56">
        <v>2023</v>
      </c>
      <c r="C56" t="s">
        <v>37</v>
      </c>
      <c r="D56">
        <v>181.7</v>
      </c>
      <c r="E56">
        <v>178.1</v>
      </c>
    </row>
    <row r="57" spans="1:5" x14ac:dyDescent="0.3">
      <c r="A57" t="s">
        <v>34</v>
      </c>
      <c r="B57">
        <v>2023</v>
      </c>
      <c r="C57" t="s">
        <v>38</v>
      </c>
      <c r="D57">
        <v>182.8</v>
      </c>
      <c r="E57">
        <v>179.1</v>
      </c>
    </row>
    <row r="63" spans="1:5" x14ac:dyDescent="0.3">
      <c r="A63" s="49" t="s">
        <v>109</v>
      </c>
      <c r="B63" s="49"/>
      <c r="C63" s="49"/>
      <c r="D63" s="49"/>
      <c r="E63" s="49"/>
    </row>
    <row r="64" spans="1:5" x14ac:dyDescent="0.3">
      <c r="A64" t="s">
        <v>0</v>
      </c>
      <c r="B64" t="s">
        <v>1</v>
      </c>
      <c r="C64" t="s">
        <v>2</v>
      </c>
      <c r="D64" t="s">
        <v>21</v>
      </c>
      <c r="E64" t="s">
        <v>29</v>
      </c>
    </row>
    <row r="65" spans="1:23" x14ac:dyDescent="0.3">
      <c r="A65" t="s">
        <v>33</v>
      </c>
      <c r="B65">
        <v>2021</v>
      </c>
      <c r="C65" t="s">
        <v>40</v>
      </c>
      <c r="D65">
        <v>157.69999999999999</v>
      </c>
      <c r="E65">
        <v>161.80000000000001</v>
      </c>
    </row>
    <row r="66" spans="1:23" x14ac:dyDescent="0.3">
      <c r="A66" t="s">
        <v>33</v>
      </c>
      <c r="B66">
        <v>2021</v>
      </c>
      <c r="C66" t="s">
        <v>41</v>
      </c>
      <c r="D66">
        <v>160.69999999999999</v>
      </c>
      <c r="E66">
        <v>162.30000000000001</v>
      </c>
      <c r="U66" s="50" t="s">
        <v>129</v>
      </c>
      <c r="V66" s="50"/>
      <c r="W66" s="50"/>
    </row>
    <row r="67" spans="1:23" x14ac:dyDescent="0.3">
      <c r="A67" t="s">
        <v>33</v>
      </c>
      <c r="B67">
        <v>2021</v>
      </c>
      <c r="C67" t="s">
        <v>42</v>
      </c>
      <c r="D67">
        <v>160.80000000000001</v>
      </c>
      <c r="E67">
        <v>162.30000000000001</v>
      </c>
      <c r="U67" s="50"/>
      <c r="V67" s="50"/>
      <c r="W67" s="50"/>
    </row>
    <row r="68" spans="1:23" x14ac:dyDescent="0.3">
      <c r="A68" t="s">
        <v>33</v>
      </c>
      <c r="B68">
        <v>2021</v>
      </c>
      <c r="C68" t="s">
        <v>43</v>
      </c>
      <c r="D68">
        <v>162.19999999999999</v>
      </c>
      <c r="E68">
        <v>164.6</v>
      </c>
      <c r="U68" s="50"/>
      <c r="V68" s="50"/>
      <c r="W68" s="50"/>
    </row>
    <row r="69" spans="1:23" x14ac:dyDescent="0.3">
      <c r="A69" t="s">
        <v>33</v>
      </c>
      <c r="B69">
        <v>2021</v>
      </c>
      <c r="C69" t="s">
        <v>45</v>
      </c>
      <c r="D69">
        <v>161.6</v>
      </c>
      <c r="E69">
        <v>165.6</v>
      </c>
      <c r="U69" s="50"/>
      <c r="V69" s="50"/>
      <c r="W69" s="50"/>
    </row>
    <row r="70" spans="1:23" x14ac:dyDescent="0.3">
      <c r="A70" t="s">
        <v>33</v>
      </c>
      <c r="B70">
        <v>2021</v>
      </c>
      <c r="C70" t="s">
        <v>46</v>
      </c>
      <c r="D70">
        <v>161.69999999999999</v>
      </c>
      <c r="E70">
        <v>165.2</v>
      </c>
    </row>
    <row r="71" spans="1:23" x14ac:dyDescent="0.3">
      <c r="A71" t="s">
        <v>33</v>
      </c>
      <c r="B71">
        <v>2022</v>
      </c>
      <c r="C71" t="s">
        <v>31</v>
      </c>
      <c r="D71">
        <v>161.6</v>
      </c>
      <c r="E71">
        <v>165</v>
      </c>
    </row>
    <row r="72" spans="1:23" x14ac:dyDescent="0.3">
      <c r="A72" t="s">
        <v>33</v>
      </c>
      <c r="B72">
        <v>2022</v>
      </c>
      <c r="C72" t="s">
        <v>35</v>
      </c>
      <c r="D72">
        <v>163</v>
      </c>
      <c r="E72">
        <v>165.5</v>
      </c>
    </row>
    <row r="73" spans="1:23" x14ac:dyDescent="0.3">
      <c r="A73" t="s">
        <v>33</v>
      </c>
      <c r="B73">
        <v>2022</v>
      </c>
      <c r="C73" t="s">
        <v>36</v>
      </c>
      <c r="D73">
        <v>164.5</v>
      </c>
      <c r="E73">
        <v>166.5</v>
      </c>
    </row>
    <row r="74" spans="1:23" x14ac:dyDescent="0.3">
      <c r="A74" t="s">
        <v>33</v>
      </c>
      <c r="B74">
        <v>2022</v>
      </c>
      <c r="C74" t="s">
        <v>37</v>
      </c>
      <c r="D74">
        <v>170.5</v>
      </c>
      <c r="E74">
        <v>169.2</v>
      </c>
    </row>
    <row r="75" spans="1:23" x14ac:dyDescent="0.3">
      <c r="A75" t="s">
        <v>33</v>
      </c>
      <c r="B75">
        <v>2022</v>
      </c>
      <c r="C75" t="s">
        <v>38</v>
      </c>
      <c r="D75">
        <v>173.5</v>
      </c>
      <c r="E75">
        <v>170.8</v>
      </c>
    </row>
    <row r="76" spans="1:23" x14ac:dyDescent="0.3">
      <c r="A76" t="s">
        <v>33</v>
      </c>
      <c r="B76">
        <v>2022</v>
      </c>
      <c r="C76" t="s">
        <v>39</v>
      </c>
      <c r="D76">
        <v>174.9</v>
      </c>
      <c r="E76">
        <v>171.4</v>
      </c>
    </row>
    <row r="77" spans="1:23" x14ac:dyDescent="0.3">
      <c r="A77" t="s">
        <v>33</v>
      </c>
      <c r="B77">
        <v>2022</v>
      </c>
      <c r="C77" t="s">
        <v>40</v>
      </c>
      <c r="D77">
        <v>179.5</v>
      </c>
      <c r="E77">
        <v>172.3</v>
      </c>
    </row>
    <row r="78" spans="1:23" x14ac:dyDescent="0.3">
      <c r="A78" t="s">
        <v>33</v>
      </c>
      <c r="B78">
        <v>2022</v>
      </c>
      <c r="C78" t="s">
        <v>41</v>
      </c>
      <c r="D78">
        <v>178.4</v>
      </c>
      <c r="E78">
        <v>173.1</v>
      </c>
    </row>
    <row r="79" spans="1:23" x14ac:dyDescent="0.3">
      <c r="A79" t="s">
        <v>33</v>
      </c>
      <c r="B79">
        <v>2022</v>
      </c>
      <c r="C79" t="s">
        <v>42</v>
      </c>
      <c r="D79">
        <v>179.2</v>
      </c>
      <c r="E79">
        <v>174.1</v>
      </c>
    </row>
    <row r="80" spans="1:23" x14ac:dyDescent="0.3">
      <c r="A80" t="s">
        <v>33</v>
      </c>
      <c r="B80">
        <v>2022</v>
      </c>
      <c r="C80" t="s">
        <v>43</v>
      </c>
      <c r="D80">
        <v>180</v>
      </c>
      <c r="E80">
        <v>175.3</v>
      </c>
    </row>
    <row r="81" spans="1:5" x14ac:dyDescent="0.3">
      <c r="A81" t="s">
        <v>33</v>
      </c>
      <c r="B81">
        <v>2022</v>
      </c>
      <c r="C81" t="s">
        <v>45</v>
      </c>
      <c r="D81">
        <v>180.3</v>
      </c>
      <c r="E81">
        <v>174.1</v>
      </c>
    </row>
    <row r="82" spans="1:5" x14ac:dyDescent="0.3">
      <c r="A82" t="s">
        <v>33</v>
      </c>
      <c r="B82">
        <v>2022</v>
      </c>
      <c r="C82" t="s">
        <v>46</v>
      </c>
      <c r="D82">
        <v>180.6</v>
      </c>
      <c r="E82">
        <v>174.1</v>
      </c>
    </row>
    <row r="83" spans="1:5" x14ac:dyDescent="0.3">
      <c r="A83" t="s">
        <v>33</v>
      </c>
      <c r="B83">
        <v>2023</v>
      </c>
      <c r="C83" t="s">
        <v>31</v>
      </c>
      <c r="D83">
        <v>180.1</v>
      </c>
      <c r="E83">
        <v>174.9</v>
      </c>
    </row>
    <row r="84" spans="1:5" x14ac:dyDescent="0.3">
      <c r="A84" t="s">
        <v>33</v>
      </c>
      <c r="B84">
        <v>2023</v>
      </c>
      <c r="C84" t="s">
        <v>35</v>
      </c>
      <c r="D84">
        <v>182.8</v>
      </c>
      <c r="E84">
        <v>176.3</v>
      </c>
    </row>
    <row r="85" spans="1:5" x14ac:dyDescent="0.3">
      <c r="A85" t="s">
        <v>33</v>
      </c>
      <c r="B85">
        <v>2023</v>
      </c>
      <c r="C85" t="s">
        <v>36</v>
      </c>
      <c r="D85">
        <v>182.6</v>
      </c>
      <c r="E85">
        <v>176.3</v>
      </c>
    </row>
    <row r="86" spans="1:5" x14ac:dyDescent="0.3">
      <c r="A86" t="s">
        <v>33</v>
      </c>
      <c r="B86">
        <v>2023</v>
      </c>
      <c r="C86" t="s">
        <v>37</v>
      </c>
      <c r="D86">
        <v>182.1</v>
      </c>
      <c r="E86">
        <v>177.4</v>
      </c>
    </row>
    <row r="87" spans="1:5" x14ac:dyDescent="0.3">
      <c r="A87" t="s">
        <v>33</v>
      </c>
      <c r="B87">
        <v>2023</v>
      </c>
      <c r="C87" t="s">
        <v>38</v>
      </c>
      <c r="D87">
        <v>183.4</v>
      </c>
      <c r="E87">
        <v>178.2</v>
      </c>
    </row>
  </sheetData>
  <mergeCells count="6">
    <mergeCell ref="U66:W69"/>
    <mergeCell ref="A1:E1"/>
    <mergeCell ref="A32:E32"/>
    <mergeCell ref="A63:E63"/>
    <mergeCell ref="U6:W9"/>
    <mergeCell ref="U35:W3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A56D-4E15-48EE-B565-7C07816DC8F2}">
  <dimension ref="A1:AE86"/>
  <sheetViews>
    <sheetView tabSelected="1" zoomScaleNormal="100" workbookViewId="0">
      <selection activeCell="AA2" sqref="AA2"/>
    </sheetView>
  </sheetViews>
  <sheetFormatPr defaultRowHeight="14.4" x14ac:dyDescent="0.3"/>
  <cols>
    <col min="1" max="1" width="6.21875" bestFit="1" customWidth="1"/>
    <col min="2" max="2" width="5" bestFit="1" customWidth="1"/>
    <col min="3" max="3" width="10" bestFit="1" customWidth="1"/>
    <col min="4" max="4" width="6.109375" bestFit="1" customWidth="1"/>
    <col min="5" max="5" width="13.5546875" bestFit="1" customWidth="1"/>
    <col min="6" max="6" width="18.44140625" customWidth="1"/>
    <col min="7" max="7" width="13.5546875" bestFit="1" customWidth="1"/>
    <col min="8" max="8" width="25.6640625" bestFit="1" customWidth="1"/>
    <col min="9" max="9" width="22.6640625" bestFit="1" customWidth="1"/>
    <col min="10" max="10" width="9.44140625" bestFit="1" customWidth="1"/>
    <col min="11" max="11" width="16.109375" bestFit="1" customWidth="1"/>
    <col min="12" max="12" width="7.88671875" bestFit="1" customWidth="1"/>
    <col min="13" max="13" width="14.6640625" bestFit="1" customWidth="1"/>
    <col min="14" max="14" width="10.5546875" bestFit="1" customWidth="1"/>
    <col min="15" max="15" width="11.21875" bestFit="1" customWidth="1"/>
    <col min="16" max="16" width="11.5546875" bestFit="1" customWidth="1"/>
    <col min="17" max="17" width="17.77734375" bestFit="1" customWidth="1"/>
    <col min="18" max="18" width="13.77734375" bestFit="1" customWidth="1"/>
    <col min="19" max="21" width="12.88671875" customWidth="1"/>
    <col min="22" max="22" width="12.77734375" bestFit="1" customWidth="1"/>
    <col min="23" max="23" width="15.21875" bestFit="1" customWidth="1"/>
    <col min="26" max="26" width="22.6640625" bestFit="1" customWidth="1"/>
    <col min="27" max="27" width="26.44140625" customWidth="1"/>
  </cols>
  <sheetData>
    <row r="1" spans="1:31" x14ac:dyDescent="0.3">
      <c r="A1" t="s">
        <v>0</v>
      </c>
      <c r="B1" t="s">
        <v>1</v>
      </c>
      <c r="C1" t="s">
        <v>2</v>
      </c>
      <c r="D1" s="1" t="s">
        <v>49</v>
      </c>
      <c r="E1" s="1" t="s">
        <v>112</v>
      </c>
      <c r="F1" s="1" t="s">
        <v>56</v>
      </c>
      <c r="G1" s="1" t="s">
        <v>113</v>
      </c>
      <c r="H1" s="1" t="s">
        <v>51</v>
      </c>
      <c r="I1" s="1" t="s">
        <v>114</v>
      </c>
      <c r="J1" s="1" t="s">
        <v>55</v>
      </c>
      <c r="K1" s="1" t="s">
        <v>115</v>
      </c>
      <c r="L1" s="1" t="s">
        <v>54</v>
      </c>
      <c r="M1" s="1" t="s">
        <v>116</v>
      </c>
      <c r="N1" s="1" t="s">
        <v>122</v>
      </c>
      <c r="O1" s="1" t="s">
        <v>117</v>
      </c>
      <c r="P1" s="1" t="s">
        <v>53</v>
      </c>
      <c r="Q1" s="1" t="s">
        <v>121</v>
      </c>
      <c r="R1" s="1" t="s">
        <v>28</v>
      </c>
      <c r="S1" s="1" t="s">
        <v>118</v>
      </c>
      <c r="T1" t="s">
        <v>24</v>
      </c>
      <c r="U1" s="1" t="s">
        <v>120</v>
      </c>
      <c r="V1" s="1" t="s">
        <v>21</v>
      </c>
      <c r="W1" s="1" t="s">
        <v>119</v>
      </c>
      <c r="Z1" s="1" t="s">
        <v>123</v>
      </c>
      <c r="AA1" s="1" t="s">
        <v>124</v>
      </c>
    </row>
    <row r="2" spans="1:31" x14ac:dyDescent="0.3">
      <c r="A2" t="s">
        <v>30</v>
      </c>
      <c r="B2">
        <v>2021</v>
      </c>
      <c r="C2" t="s">
        <v>39</v>
      </c>
      <c r="D2" s="3">
        <v>163.27692307692308</v>
      </c>
      <c r="F2" s="3">
        <v>189.1</v>
      </c>
      <c r="H2" s="3">
        <v>163.26666666666668</v>
      </c>
      <c r="I2" s="6"/>
      <c r="J2" s="3">
        <v>160.5</v>
      </c>
      <c r="K2" s="6"/>
      <c r="L2" s="3">
        <v>169.7</v>
      </c>
      <c r="M2" s="6"/>
      <c r="N2">
        <v>159.66666666666666</v>
      </c>
      <c r="O2" s="6"/>
      <c r="P2" s="3">
        <v>166.8</v>
      </c>
      <c r="Q2" s="6"/>
      <c r="R2" s="3">
        <v>161.5</v>
      </c>
      <c r="S2" s="6"/>
      <c r="T2">
        <v>154.19999999999999</v>
      </c>
      <c r="V2">
        <v>162.1</v>
      </c>
      <c r="Z2" s="1" t="s">
        <v>112</v>
      </c>
      <c r="AA2" s="20">
        <v>0.56061489478787774</v>
      </c>
    </row>
    <row r="3" spans="1:31" ht="14.4" customHeight="1" x14ac:dyDescent="0.3">
      <c r="A3" t="s">
        <v>30</v>
      </c>
      <c r="B3">
        <v>2021</v>
      </c>
      <c r="C3" t="s">
        <v>40</v>
      </c>
      <c r="D3" s="3">
        <v>164.03076923076924</v>
      </c>
      <c r="E3" s="21">
        <f>(D3-D2)/D2</f>
        <v>4.6169791764816785E-3</v>
      </c>
      <c r="F3" s="3">
        <v>189.7</v>
      </c>
      <c r="G3" s="21">
        <f>(F3-F2)/F2</f>
        <v>3.1729243786356126E-3</v>
      </c>
      <c r="H3" s="3">
        <v>164.13333333333335</v>
      </c>
      <c r="I3" s="21">
        <f>(H3-H2)/H2</f>
        <v>5.3082890975908997E-3</v>
      </c>
      <c r="J3" s="3">
        <v>161.5</v>
      </c>
      <c r="K3" s="21">
        <f>(J3-J2)/J2</f>
        <v>6.2305295950155761E-3</v>
      </c>
      <c r="L3" s="3">
        <v>170.4</v>
      </c>
      <c r="M3" s="21">
        <f>(L3-L2)/L2</f>
        <v>4.1249263406011611E-3</v>
      </c>
      <c r="N3">
        <v>160.46666666666667</v>
      </c>
      <c r="O3" s="21">
        <f>(N3-N2)/N2</f>
        <v>5.0104384133612409E-3</v>
      </c>
      <c r="P3" s="3">
        <v>167.2</v>
      </c>
      <c r="Q3" s="21">
        <f>(P3-P2)/P2</f>
        <v>2.3980815347720459E-3</v>
      </c>
      <c r="R3" s="3">
        <v>162.80000000000001</v>
      </c>
      <c r="S3" s="21">
        <f>(R3-R2)/R2</f>
        <v>8.049535603715241E-3</v>
      </c>
      <c r="T3">
        <v>157.1</v>
      </c>
      <c r="U3" s="21">
        <f>(T3-T2)/T2</f>
        <v>1.8806744487678377E-2</v>
      </c>
      <c r="V3">
        <v>162.5</v>
      </c>
      <c r="W3" s="21">
        <f>(V3-V2)/V2</f>
        <v>2.4676125848242178E-3</v>
      </c>
      <c r="Z3" s="1" t="s">
        <v>113</v>
      </c>
      <c r="AA3" s="20">
        <v>-0.13125094053878861</v>
      </c>
      <c r="AC3" s="50" t="s">
        <v>126</v>
      </c>
      <c r="AD3" s="50"/>
      <c r="AE3" s="50"/>
    </row>
    <row r="4" spans="1:31" x14ac:dyDescent="0.3">
      <c r="A4" t="s">
        <v>30</v>
      </c>
      <c r="B4">
        <v>2021</v>
      </c>
      <c r="C4" t="s">
        <v>41</v>
      </c>
      <c r="D4" s="3">
        <v>163.90769230769232</v>
      </c>
      <c r="E4" s="21">
        <f t="shared" ref="E4:E25" si="0">(D4-D3)/D3</f>
        <v>-7.5032826861751742E-4</v>
      </c>
      <c r="F4" s="3">
        <v>190.2</v>
      </c>
      <c r="G4" s="21">
        <f t="shared" ref="G4:G25" si="1">(F4-F3)/F3</f>
        <v>2.635740643120717E-3</v>
      </c>
      <c r="H4" s="3">
        <v>165.3</v>
      </c>
      <c r="I4" s="21">
        <f t="shared" ref="I4:I25" si="2">(H4-H3)/H3</f>
        <v>7.108042242079551E-3</v>
      </c>
      <c r="J4" s="3">
        <v>162.1</v>
      </c>
      <c r="K4" s="21">
        <f t="shared" ref="K4:K25" si="3">(J4-J3)/J3</f>
        <v>3.7151702786377356E-3</v>
      </c>
      <c r="L4" s="3">
        <v>171.1</v>
      </c>
      <c r="M4" s="21">
        <f t="shared" ref="M4:M25" si="4">(L4-L3)/L3</f>
        <v>4.1079812206572105E-3</v>
      </c>
      <c r="N4">
        <v>160.76666666666668</v>
      </c>
      <c r="O4" s="21">
        <f t="shared" ref="O4:O25" si="5">(N4-N3)/N3</f>
        <v>1.8695471541338472E-3</v>
      </c>
      <c r="P4" s="3">
        <v>167.5</v>
      </c>
      <c r="Q4" s="21">
        <f t="shared" ref="Q4:Q25" si="6">(P4-P3)/P3</f>
        <v>1.7942583732058098E-3</v>
      </c>
      <c r="R4" s="3">
        <v>163.30000000000001</v>
      </c>
      <c r="S4" s="21">
        <f t="shared" ref="S4:S25" si="7">(R4-R3)/R3</f>
        <v>3.0712530712530711E-3</v>
      </c>
      <c r="T4">
        <v>157.69999999999999</v>
      </c>
      <c r="U4" s="21">
        <f t="shared" ref="U4:U25" si="8">(T4-T3)/T3</f>
        <v>3.8192234245703013E-3</v>
      </c>
      <c r="V4">
        <v>163.1</v>
      </c>
      <c r="W4" s="21">
        <f t="shared" ref="W4:W25" si="9">(V4-V3)/V3</f>
        <v>3.6923076923076575E-3</v>
      </c>
      <c r="Z4" s="1" t="s">
        <v>114</v>
      </c>
      <c r="AA4" s="20">
        <v>0.52360026833786644</v>
      </c>
      <c r="AC4" s="50"/>
      <c r="AD4" s="50"/>
      <c r="AE4" s="50"/>
    </row>
    <row r="5" spans="1:31" x14ac:dyDescent="0.3">
      <c r="A5" t="s">
        <v>30</v>
      </c>
      <c r="B5">
        <v>2021</v>
      </c>
      <c r="C5" t="s">
        <v>42</v>
      </c>
      <c r="D5" s="3">
        <v>164.12307692307692</v>
      </c>
      <c r="E5" s="21">
        <f t="shared" si="0"/>
        <v>1.3140604467805038E-3</v>
      </c>
      <c r="F5" s="3">
        <v>190.5</v>
      </c>
      <c r="G5" s="21">
        <f t="shared" si="1"/>
        <v>1.5772870662461166E-3</v>
      </c>
      <c r="H5" s="3">
        <v>166.13333333333333</v>
      </c>
      <c r="I5" s="21">
        <f t="shared" si="2"/>
        <v>5.0413389796328759E-3</v>
      </c>
      <c r="J5" s="3">
        <v>162.1</v>
      </c>
      <c r="K5" s="21">
        <f t="shared" si="3"/>
        <v>0</v>
      </c>
      <c r="L5" s="3">
        <v>171.9</v>
      </c>
      <c r="M5" s="21">
        <f t="shared" si="4"/>
        <v>4.6756282875512062E-3</v>
      </c>
      <c r="N5">
        <v>161.4</v>
      </c>
      <c r="O5" s="21">
        <f t="shared" si="5"/>
        <v>3.9394567696454013E-3</v>
      </c>
      <c r="P5" s="3">
        <v>168.5</v>
      </c>
      <c r="Q5" s="21">
        <f t="shared" si="6"/>
        <v>5.9701492537313433E-3</v>
      </c>
      <c r="R5" s="3">
        <v>163.80000000000001</v>
      </c>
      <c r="S5" s="21">
        <f t="shared" si="7"/>
        <v>3.0618493570116348E-3</v>
      </c>
      <c r="T5">
        <v>157.80000000000001</v>
      </c>
      <c r="U5" s="21">
        <f t="shared" si="8"/>
        <v>6.3411540900458301E-4</v>
      </c>
      <c r="V5">
        <v>163.69999999999999</v>
      </c>
      <c r="W5" s="21">
        <f t="shared" si="9"/>
        <v>3.6787247087675923E-3</v>
      </c>
      <c r="Z5" s="1" t="s">
        <v>115</v>
      </c>
      <c r="AA5" s="20">
        <v>0.13957666403332386</v>
      </c>
      <c r="AC5" s="50"/>
      <c r="AD5" s="50"/>
      <c r="AE5" s="50"/>
    </row>
    <row r="6" spans="1:31" x14ac:dyDescent="0.3">
      <c r="A6" t="s">
        <v>30</v>
      </c>
      <c r="B6">
        <v>2021</v>
      </c>
      <c r="C6" t="s">
        <v>43</v>
      </c>
      <c r="D6" s="3">
        <v>166.47692307692307</v>
      </c>
      <c r="E6" s="21">
        <f t="shared" si="0"/>
        <v>1.4341957255343053E-2</v>
      </c>
      <c r="F6" s="3">
        <v>191.2</v>
      </c>
      <c r="G6" s="21">
        <f t="shared" si="1"/>
        <v>3.6745406824146387E-3</v>
      </c>
      <c r="H6" s="3">
        <v>167.33333333333334</v>
      </c>
      <c r="I6" s="21">
        <f t="shared" si="2"/>
        <v>7.2231139646871017E-3</v>
      </c>
      <c r="J6" s="3">
        <v>163.6</v>
      </c>
      <c r="K6" s="21">
        <f t="shared" si="3"/>
        <v>9.2535471930906849E-3</v>
      </c>
      <c r="L6" s="3">
        <v>172.5</v>
      </c>
      <c r="M6" s="21">
        <f t="shared" si="4"/>
        <v>3.4904013961605251E-3</v>
      </c>
      <c r="N6">
        <v>162.1</v>
      </c>
      <c r="O6" s="21">
        <f t="shared" si="5"/>
        <v>4.3370508054522217E-3</v>
      </c>
      <c r="P6" s="3">
        <v>169</v>
      </c>
      <c r="Q6" s="21">
        <f t="shared" si="6"/>
        <v>2.967359050445104E-3</v>
      </c>
      <c r="R6" s="3">
        <v>164.7</v>
      </c>
      <c r="S6" s="21">
        <f t="shared" si="7"/>
        <v>5.4945054945053553E-3</v>
      </c>
      <c r="T6">
        <v>159.5</v>
      </c>
      <c r="U6" s="21">
        <f t="shared" si="8"/>
        <v>1.0773130544993591E-2</v>
      </c>
      <c r="V6">
        <v>165.5</v>
      </c>
      <c r="W6" s="21">
        <f t="shared" si="9"/>
        <v>1.0995723885155843E-2</v>
      </c>
      <c r="Z6" s="1" t="s">
        <v>116</v>
      </c>
      <c r="AA6" s="20">
        <v>-0.16311057055628359</v>
      </c>
      <c r="AC6" s="50"/>
      <c r="AD6" s="50"/>
      <c r="AE6" s="50"/>
    </row>
    <row r="7" spans="1:31" x14ac:dyDescent="0.3">
      <c r="A7" t="s">
        <v>30</v>
      </c>
      <c r="B7">
        <v>2021</v>
      </c>
      <c r="C7" t="s">
        <v>45</v>
      </c>
      <c r="D7" s="3">
        <v>167.84615384615384</v>
      </c>
      <c r="E7" s="21">
        <f t="shared" si="0"/>
        <v>8.2247481748452013E-3</v>
      </c>
      <c r="F7" s="3">
        <v>191.4</v>
      </c>
      <c r="G7" s="21">
        <f t="shared" si="1"/>
        <v>1.0460251046025997E-3</v>
      </c>
      <c r="H7" s="3">
        <v>168.73333333333332</v>
      </c>
      <c r="I7" s="21">
        <f t="shared" si="2"/>
        <v>8.3665338645416958E-3</v>
      </c>
      <c r="J7" s="3">
        <v>164.2</v>
      </c>
      <c r="K7" s="21">
        <f t="shared" si="3"/>
        <v>3.6674816625916523E-3</v>
      </c>
      <c r="L7" s="3">
        <v>173.4</v>
      </c>
      <c r="M7" s="21">
        <f t="shared" si="4"/>
        <v>5.2173913043478595E-3</v>
      </c>
      <c r="N7">
        <v>163.03333333333333</v>
      </c>
      <c r="O7" s="21">
        <f t="shared" si="5"/>
        <v>5.7577626979231165E-3</v>
      </c>
      <c r="P7" s="3">
        <v>169.3</v>
      </c>
      <c r="Q7" s="21">
        <f t="shared" si="6"/>
        <v>1.7751479289941502E-3</v>
      </c>
      <c r="R7" s="3">
        <v>165.2</v>
      </c>
      <c r="S7" s="21">
        <f t="shared" si="7"/>
        <v>3.0358227079538558E-3</v>
      </c>
      <c r="T7">
        <v>158.9</v>
      </c>
      <c r="U7" s="21">
        <f t="shared" si="8"/>
        <v>-3.7617554858933814E-3</v>
      </c>
      <c r="V7">
        <v>165.3</v>
      </c>
      <c r="W7" s="21">
        <f t="shared" si="9"/>
        <v>-1.2084592145014418E-3</v>
      </c>
      <c r="Z7" s="1" t="s">
        <v>117</v>
      </c>
      <c r="AA7" s="20">
        <v>0.06</v>
      </c>
      <c r="AC7" s="44"/>
      <c r="AD7" s="44"/>
      <c r="AE7" s="44"/>
    </row>
    <row r="8" spans="1:31" x14ac:dyDescent="0.3">
      <c r="A8" t="s">
        <v>30</v>
      </c>
      <c r="B8">
        <v>2021</v>
      </c>
      <c r="C8" t="s">
        <v>46</v>
      </c>
      <c r="D8" s="3">
        <v>166.78461538461536</v>
      </c>
      <c r="E8" s="21">
        <f t="shared" si="0"/>
        <v>-6.3244729605867016E-3</v>
      </c>
      <c r="F8" s="3">
        <v>190.8</v>
      </c>
      <c r="G8" s="21">
        <f t="shared" si="1"/>
        <v>-3.1347962382444845E-3</v>
      </c>
      <c r="H8" s="3">
        <v>170.1</v>
      </c>
      <c r="I8" s="21">
        <f t="shared" si="2"/>
        <v>8.0995653891742844E-3</v>
      </c>
      <c r="J8" s="3">
        <v>163.4</v>
      </c>
      <c r="K8" s="21">
        <f t="shared" si="3"/>
        <v>-4.8721071863579964E-3</v>
      </c>
      <c r="L8" s="3">
        <v>174</v>
      </c>
      <c r="M8" s="21">
        <f t="shared" si="4"/>
        <v>3.4602076124567146E-3</v>
      </c>
      <c r="N8">
        <v>163.73333333333332</v>
      </c>
      <c r="O8" s="21">
        <f t="shared" si="5"/>
        <v>4.2936004906971295E-3</v>
      </c>
      <c r="P8" s="3">
        <v>169.7</v>
      </c>
      <c r="Q8" s="21">
        <f t="shared" si="6"/>
        <v>2.3626698168929547E-3</v>
      </c>
      <c r="R8" s="3">
        <v>166</v>
      </c>
      <c r="S8" s="21">
        <f t="shared" si="7"/>
        <v>4.8426150121066063E-3</v>
      </c>
      <c r="T8">
        <v>160.1</v>
      </c>
      <c r="U8" s="21">
        <f t="shared" si="8"/>
        <v>7.551919446192502E-3</v>
      </c>
      <c r="V8">
        <v>165.6</v>
      </c>
      <c r="W8" s="21">
        <f t="shared" si="9"/>
        <v>1.8148820326677733E-3</v>
      </c>
      <c r="Z8" s="1" t="s">
        <v>121</v>
      </c>
      <c r="AA8" s="20">
        <v>0.20477595082441735</v>
      </c>
    </row>
    <row r="9" spans="1:31" x14ac:dyDescent="0.3">
      <c r="A9" t="s">
        <v>30</v>
      </c>
      <c r="B9">
        <v>2022</v>
      </c>
      <c r="C9" t="s">
        <v>31</v>
      </c>
      <c r="D9" s="3">
        <v>165.61538461538461</v>
      </c>
      <c r="E9" s="21">
        <f t="shared" si="0"/>
        <v>-7.0104233926758432E-3</v>
      </c>
      <c r="F9" s="3">
        <v>190.7</v>
      </c>
      <c r="G9" s="21">
        <f t="shared" si="1"/>
        <v>-5.2410901467517159E-4</v>
      </c>
      <c r="H9" s="3">
        <v>171.73333333333335</v>
      </c>
      <c r="I9" s="21">
        <f t="shared" si="2"/>
        <v>9.6021947873800948E-3</v>
      </c>
      <c r="J9" s="3">
        <v>164.5</v>
      </c>
      <c r="K9" s="21">
        <f t="shared" si="3"/>
        <v>6.7319461444308093E-3</v>
      </c>
      <c r="L9" s="3">
        <v>174.7</v>
      </c>
      <c r="M9" s="21">
        <f t="shared" si="4"/>
        <v>4.0229885057470613E-3</v>
      </c>
      <c r="N9">
        <v>164.33333333333334</v>
      </c>
      <c r="O9" s="21">
        <f t="shared" si="5"/>
        <v>3.6644951140066538E-3</v>
      </c>
      <c r="P9" s="3">
        <v>169.9</v>
      </c>
      <c r="Q9" s="21">
        <f t="shared" si="6"/>
        <v>1.1785503830289751E-3</v>
      </c>
      <c r="R9" s="3">
        <v>166.6</v>
      </c>
      <c r="S9" s="21">
        <f t="shared" si="7"/>
        <v>3.614457831325267E-3</v>
      </c>
      <c r="T9">
        <v>160.80000000000001</v>
      </c>
      <c r="U9" s="21">
        <f t="shared" si="8"/>
        <v>4.3722673329170333E-3</v>
      </c>
      <c r="V9">
        <v>165.8</v>
      </c>
      <c r="W9" s="21">
        <f t="shared" si="9"/>
        <v>1.2077294685991368E-3</v>
      </c>
      <c r="Z9" s="1" t="s">
        <v>118</v>
      </c>
      <c r="AA9" s="20">
        <v>0.32475036867637491</v>
      </c>
    </row>
    <row r="10" spans="1:31" x14ac:dyDescent="0.3">
      <c r="A10" t="s">
        <v>30</v>
      </c>
      <c r="B10">
        <v>2022</v>
      </c>
      <c r="C10" t="s">
        <v>35</v>
      </c>
      <c r="D10" s="3">
        <v>165.41538461538462</v>
      </c>
      <c r="E10" s="21">
        <f t="shared" si="0"/>
        <v>-1.2076172782163736E-3</v>
      </c>
      <c r="F10" s="3">
        <v>191.5</v>
      </c>
      <c r="G10" s="21">
        <f t="shared" si="1"/>
        <v>4.1950707918196719E-3</v>
      </c>
      <c r="H10" s="3">
        <v>172.93333333333331</v>
      </c>
      <c r="I10" s="21">
        <f t="shared" si="2"/>
        <v>6.9875776397513205E-3</v>
      </c>
      <c r="J10" s="3">
        <v>165.5</v>
      </c>
      <c r="K10" s="21">
        <f t="shared" si="3"/>
        <v>6.0790273556231003E-3</v>
      </c>
      <c r="L10" s="3">
        <v>175.3</v>
      </c>
      <c r="M10" s="21">
        <f t="shared" si="4"/>
        <v>3.4344590726961806E-3</v>
      </c>
      <c r="N10">
        <v>165.23333333333332</v>
      </c>
      <c r="O10" s="21">
        <f t="shared" si="5"/>
        <v>5.4766734279917476E-3</v>
      </c>
      <c r="P10" s="3">
        <v>170.3</v>
      </c>
      <c r="Q10" s="21">
        <f t="shared" si="6"/>
        <v>2.3543260741613046E-3</v>
      </c>
      <c r="R10" s="3">
        <v>167.3</v>
      </c>
      <c r="S10" s="21">
        <f t="shared" si="7"/>
        <v>4.2016806722690097E-3</v>
      </c>
      <c r="T10">
        <v>161.19999999999999</v>
      </c>
      <c r="U10" s="21">
        <f t="shared" si="8"/>
        <v>2.4875621890545849E-3</v>
      </c>
      <c r="V10">
        <v>167.4</v>
      </c>
      <c r="W10" s="21">
        <f t="shared" si="9"/>
        <v>9.6501809408926064E-3</v>
      </c>
      <c r="Z10" s="1" t="s">
        <v>120</v>
      </c>
      <c r="AA10" s="20">
        <v>0.480439426185443</v>
      </c>
    </row>
    <row r="11" spans="1:31" x14ac:dyDescent="0.3">
      <c r="A11" t="s">
        <v>30</v>
      </c>
      <c r="B11">
        <v>2022</v>
      </c>
      <c r="C11" t="s">
        <v>36</v>
      </c>
      <c r="D11" s="3">
        <v>167.62307692307695</v>
      </c>
      <c r="E11" s="21">
        <f t="shared" si="0"/>
        <v>1.3346354166666779E-2</v>
      </c>
      <c r="F11" s="3">
        <v>192.3</v>
      </c>
      <c r="G11" s="21">
        <f t="shared" si="1"/>
        <v>4.177545691906065E-3</v>
      </c>
      <c r="H11" s="3">
        <v>174.56666666666669</v>
      </c>
      <c r="I11" s="21">
        <f t="shared" si="2"/>
        <v>9.4448727833464693E-3</v>
      </c>
      <c r="J11" s="3">
        <v>165.3</v>
      </c>
      <c r="K11" s="21">
        <f t="shared" si="3"/>
        <v>-1.2084592145014418E-3</v>
      </c>
      <c r="L11" s="3">
        <v>176</v>
      </c>
      <c r="M11" s="21">
        <f t="shared" si="4"/>
        <v>3.9931545921277154E-3</v>
      </c>
      <c r="N11">
        <v>166.83333333333334</v>
      </c>
      <c r="O11" s="21">
        <f t="shared" si="5"/>
        <v>9.6832761751060488E-3</v>
      </c>
      <c r="P11" s="3">
        <v>170.6</v>
      </c>
      <c r="Q11" s="21">
        <f t="shared" si="6"/>
        <v>1.7615971814444094E-3</v>
      </c>
      <c r="R11" s="3">
        <v>168.3</v>
      </c>
      <c r="S11" s="21">
        <f t="shared" si="7"/>
        <v>5.977286312014345E-3</v>
      </c>
      <c r="T11">
        <v>162</v>
      </c>
      <c r="U11" s="21">
        <f t="shared" si="8"/>
        <v>4.9627791563276145E-3</v>
      </c>
      <c r="V11">
        <v>168.9</v>
      </c>
      <c r="W11" s="21">
        <f t="shared" si="9"/>
        <v>8.9605734767025085E-3</v>
      </c>
      <c r="Z11" s="1"/>
    </row>
    <row r="12" spans="1:31" x14ac:dyDescent="0.3">
      <c r="A12" t="s">
        <v>30</v>
      </c>
      <c r="B12">
        <v>2022</v>
      </c>
      <c r="C12" t="s">
        <v>37</v>
      </c>
      <c r="D12" s="3">
        <v>169.73846153846154</v>
      </c>
      <c r="E12" s="21">
        <f t="shared" si="0"/>
        <v>1.2619888944977099E-2</v>
      </c>
      <c r="F12" s="3">
        <v>192.8</v>
      </c>
      <c r="G12" s="21">
        <f t="shared" si="1"/>
        <v>2.6001040041601664E-3</v>
      </c>
      <c r="H12" s="3">
        <v>176.56666666666669</v>
      </c>
      <c r="I12" s="21">
        <f t="shared" si="2"/>
        <v>1.1456940996753866E-2</v>
      </c>
      <c r="J12" s="3">
        <v>167</v>
      </c>
      <c r="K12" s="21">
        <f t="shared" si="3"/>
        <v>1.0284331518451231E-2</v>
      </c>
      <c r="L12" s="3">
        <v>177</v>
      </c>
      <c r="M12" s="21">
        <f t="shared" si="4"/>
        <v>5.681818181818182E-3</v>
      </c>
      <c r="N12">
        <v>167.96666666666667</v>
      </c>
      <c r="O12" s="21">
        <f t="shared" si="5"/>
        <v>6.7932067932067472E-3</v>
      </c>
      <c r="P12" s="3">
        <v>170.9</v>
      </c>
      <c r="Q12" s="21">
        <f t="shared" si="6"/>
        <v>1.7584994138335954E-3</v>
      </c>
      <c r="R12" s="3">
        <v>170.2</v>
      </c>
      <c r="S12" s="21">
        <f t="shared" si="7"/>
        <v>1.1289364230540565E-2</v>
      </c>
      <c r="T12">
        <v>166.2</v>
      </c>
      <c r="U12" s="21">
        <f t="shared" si="8"/>
        <v>2.5925925925925856E-2</v>
      </c>
      <c r="V12">
        <v>173.3</v>
      </c>
      <c r="W12" s="21">
        <f t="shared" si="9"/>
        <v>2.6050917702782745E-2</v>
      </c>
    </row>
    <row r="13" spans="1:31" x14ac:dyDescent="0.3">
      <c r="A13" t="s">
        <v>30</v>
      </c>
      <c r="B13">
        <v>2022</v>
      </c>
      <c r="C13" t="s">
        <v>38</v>
      </c>
      <c r="D13" s="3">
        <v>171.2923076923077</v>
      </c>
      <c r="E13" s="21">
        <f t="shared" si="0"/>
        <v>9.1543551164688479E-3</v>
      </c>
      <c r="F13" s="3">
        <v>192.9</v>
      </c>
      <c r="G13" s="21">
        <f t="shared" si="1"/>
        <v>5.1867219917009499E-4</v>
      </c>
      <c r="H13" s="3">
        <v>178.5</v>
      </c>
      <c r="I13" s="21">
        <f t="shared" si="2"/>
        <v>1.0949594109873373E-2</v>
      </c>
      <c r="J13" s="3">
        <v>167.5</v>
      </c>
      <c r="K13" s="21">
        <f t="shared" si="3"/>
        <v>2.9940119760479044E-3</v>
      </c>
      <c r="L13" s="3">
        <v>177.7</v>
      </c>
      <c r="M13" s="21">
        <f t="shared" si="4"/>
        <v>3.9548022598869413E-3</v>
      </c>
      <c r="N13">
        <v>168.33333333333334</v>
      </c>
      <c r="O13" s="21">
        <f t="shared" si="5"/>
        <v>2.182972812065931E-3</v>
      </c>
      <c r="P13" s="3">
        <v>171.8</v>
      </c>
      <c r="Q13" s="21">
        <f t="shared" si="6"/>
        <v>5.2662375658280025E-3</v>
      </c>
      <c r="R13" s="3">
        <v>170.9</v>
      </c>
      <c r="S13" s="21">
        <f t="shared" si="7"/>
        <v>4.1128084606346484E-3</v>
      </c>
      <c r="T13">
        <v>167.1</v>
      </c>
      <c r="U13" s="21">
        <f t="shared" si="8"/>
        <v>5.4151624548736807E-3</v>
      </c>
      <c r="V13">
        <v>175.3</v>
      </c>
      <c r="W13" s="21">
        <f t="shared" si="9"/>
        <v>1.1540680900173109E-2</v>
      </c>
    </row>
    <row r="14" spans="1:31" x14ac:dyDescent="0.3">
      <c r="A14" t="s">
        <v>30</v>
      </c>
      <c r="B14">
        <v>2022</v>
      </c>
      <c r="C14" t="s">
        <v>39</v>
      </c>
      <c r="D14" s="3">
        <v>172.94615384615386</v>
      </c>
      <c r="E14" s="21">
        <f>(D14-D13)/D13</f>
        <v>9.6551104724268387E-3</v>
      </c>
      <c r="F14" s="3">
        <v>192.9</v>
      </c>
      <c r="G14" s="21">
        <f>(F14-F13)/F13</f>
        <v>0</v>
      </c>
      <c r="H14" s="3">
        <v>179.93333333333331</v>
      </c>
      <c r="I14" s="21">
        <f>(H14-H13)/H13</f>
        <v>8.0298786181137744E-3</v>
      </c>
      <c r="J14" s="3">
        <v>166.8</v>
      </c>
      <c r="K14" s="21">
        <f>(J14-J13)/J13</f>
        <v>-4.1791044776118723E-3</v>
      </c>
      <c r="L14" s="3">
        <v>178.2</v>
      </c>
      <c r="M14" s="21">
        <f>(L14-L13)/L13</f>
        <v>2.8137310073157009E-3</v>
      </c>
      <c r="N14">
        <v>169.26666666666668</v>
      </c>
      <c r="O14" s="21">
        <f>(N14-N13)/N13</f>
        <v>5.5445544554455668E-3</v>
      </c>
      <c r="P14" s="3">
        <v>172.6</v>
      </c>
      <c r="Q14" s="21">
        <f>(P14-P13)/P13</f>
        <v>4.6565774155994345E-3</v>
      </c>
      <c r="R14" s="3">
        <v>171</v>
      </c>
      <c r="S14" s="21">
        <f>(R14-R13)/R13</f>
        <v>5.8513750731418557E-4</v>
      </c>
      <c r="T14">
        <v>165.5</v>
      </c>
      <c r="U14" s="21">
        <f t="shared" si="8"/>
        <v>-9.5751047277079261E-3</v>
      </c>
      <c r="V14">
        <v>176.7</v>
      </c>
      <c r="W14" s="21">
        <f>(V14-V13)/V13</f>
        <v>7.9863091842554308E-3</v>
      </c>
    </row>
    <row r="15" spans="1:31" x14ac:dyDescent="0.3">
      <c r="A15" t="s">
        <v>30</v>
      </c>
      <c r="B15">
        <v>2022</v>
      </c>
      <c r="C15" t="s">
        <v>40</v>
      </c>
      <c r="D15" s="3">
        <v>173.26923076923077</v>
      </c>
      <c r="E15" s="21">
        <f t="shared" si="0"/>
        <v>1.868078103455876E-3</v>
      </c>
      <c r="F15" s="3">
        <v>193.2</v>
      </c>
      <c r="G15" s="21">
        <f t="shared" si="1"/>
        <v>1.5552099533436129E-3</v>
      </c>
      <c r="H15" s="3">
        <v>181.33333333333334</v>
      </c>
      <c r="I15" s="21">
        <f t="shared" si="2"/>
        <v>7.7806595035200127E-3</v>
      </c>
      <c r="J15" s="3">
        <v>167.8</v>
      </c>
      <c r="K15" s="21">
        <f t="shared" si="3"/>
        <v>5.9952038369304557E-3</v>
      </c>
      <c r="L15" s="3">
        <v>178.8</v>
      </c>
      <c r="M15" s="21">
        <f t="shared" si="4"/>
        <v>3.3670033670034948E-3</v>
      </c>
      <c r="N15">
        <v>169.86666666666665</v>
      </c>
      <c r="O15" s="21">
        <f t="shared" si="5"/>
        <v>3.5447026388339851E-3</v>
      </c>
      <c r="P15" s="3">
        <v>174.7</v>
      </c>
      <c r="Q15" s="21">
        <f t="shared" si="6"/>
        <v>1.2166859791425228E-2</v>
      </c>
      <c r="R15" s="3">
        <v>171.8</v>
      </c>
      <c r="S15" s="21">
        <f t="shared" si="7"/>
        <v>4.6783625730994821E-3</v>
      </c>
      <c r="T15">
        <v>166.3</v>
      </c>
      <c r="U15" s="21">
        <f t="shared" si="8"/>
        <v>4.8338368580061108E-3</v>
      </c>
      <c r="V15">
        <v>179.6</v>
      </c>
      <c r="W15" s="21">
        <f t="shared" si="9"/>
        <v>1.6411997736276208E-2</v>
      </c>
    </row>
    <row r="16" spans="1:31" x14ac:dyDescent="0.3">
      <c r="A16" t="s">
        <v>30</v>
      </c>
      <c r="B16">
        <v>2022</v>
      </c>
      <c r="C16" t="s">
        <v>41</v>
      </c>
      <c r="D16" s="3">
        <v>173.5230769230769</v>
      </c>
      <c r="E16" s="21">
        <f t="shared" si="0"/>
        <v>1.465038845726811E-3</v>
      </c>
      <c r="F16" s="3">
        <v>193.7</v>
      </c>
      <c r="G16" s="21">
        <f t="shared" si="1"/>
        <v>2.587991718426501E-3</v>
      </c>
      <c r="H16" s="3">
        <v>182.63333333333333</v>
      </c>
      <c r="I16" s="21">
        <f t="shared" si="2"/>
        <v>7.1691176470587295E-3</v>
      </c>
      <c r="J16" s="3">
        <v>169</v>
      </c>
      <c r="K16" s="21">
        <f t="shared" si="3"/>
        <v>7.1513706793801465E-3</v>
      </c>
      <c r="L16" s="3">
        <v>179.4</v>
      </c>
      <c r="M16" s="21">
        <f t="shared" si="4"/>
        <v>3.355704697986545E-3</v>
      </c>
      <c r="N16">
        <v>170.9</v>
      </c>
      <c r="O16" s="21">
        <f t="shared" si="5"/>
        <v>6.0832025117740973E-3</v>
      </c>
      <c r="P16" s="3">
        <v>175.7</v>
      </c>
      <c r="Q16" s="21">
        <f t="shared" si="6"/>
        <v>5.7240984544934172E-3</v>
      </c>
      <c r="R16" s="3">
        <v>172.6</v>
      </c>
      <c r="S16" s="21">
        <f t="shared" si="7"/>
        <v>4.6565774155994345E-3</v>
      </c>
      <c r="T16">
        <v>166.6</v>
      </c>
      <c r="U16" s="21">
        <f t="shared" si="8"/>
        <v>1.8039687312085564E-3</v>
      </c>
      <c r="V16">
        <v>179.1</v>
      </c>
      <c r="W16" s="21">
        <f t="shared" si="9"/>
        <v>-2.7839643652561247E-3</v>
      </c>
    </row>
    <row r="17" spans="1:23" x14ac:dyDescent="0.3">
      <c r="A17" t="s">
        <v>30</v>
      </c>
      <c r="B17">
        <v>2022</v>
      </c>
      <c r="C17" t="s">
        <v>42</v>
      </c>
      <c r="D17" s="3">
        <v>174.44615384615386</v>
      </c>
      <c r="E17" s="21">
        <f t="shared" si="0"/>
        <v>5.3196205337354878E-3</v>
      </c>
      <c r="F17" s="3">
        <v>194.5</v>
      </c>
      <c r="G17" s="21">
        <f t="shared" si="1"/>
        <v>4.1300980898296927E-3</v>
      </c>
      <c r="H17" s="3">
        <v>184.16666666666666</v>
      </c>
      <c r="I17" s="21">
        <f t="shared" si="2"/>
        <v>8.3956926446431736E-3</v>
      </c>
      <c r="J17" s="3">
        <v>169.5</v>
      </c>
      <c r="K17" s="21">
        <f t="shared" si="3"/>
        <v>2.9585798816568047E-3</v>
      </c>
      <c r="L17" s="3">
        <v>180.2</v>
      </c>
      <c r="M17" s="21">
        <f t="shared" si="4"/>
        <v>4.4593088071347986E-3</v>
      </c>
      <c r="N17">
        <v>171.4666666666667</v>
      </c>
      <c r="O17" s="21">
        <f t="shared" si="5"/>
        <v>3.3157792081140508E-3</v>
      </c>
      <c r="P17" s="3">
        <v>176.2</v>
      </c>
      <c r="Q17" s="21">
        <f t="shared" si="6"/>
        <v>2.845759817871372E-3</v>
      </c>
      <c r="R17" s="3">
        <v>173.1</v>
      </c>
      <c r="S17" s="21">
        <f t="shared" si="7"/>
        <v>2.8968713789107765E-3</v>
      </c>
      <c r="T17">
        <v>166.9</v>
      </c>
      <c r="U17" s="21">
        <f t="shared" si="8"/>
        <v>1.8007202881153144E-3</v>
      </c>
      <c r="V17">
        <v>179.7</v>
      </c>
      <c r="W17" s="21">
        <f t="shared" si="9"/>
        <v>3.3500837520937707E-3</v>
      </c>
    </row>
    <row r="18" spans="1:23" x14ac:dyDescent="0.3">
      <c r="A18" t="s">
        <v>30</v>
      </c>
      <c r="B18">
        <v>2022</v>
      </c>
      <c r="C18" t="s">
        <v>43</v>
      </c>
      <c r="D18" s="3">
        <v>175.73076923076923</v>
      </c>
      <c r="E18" s="21">
        <f t="shared" si="0"/>
        <v>7.3639650762852681E-3</v>
      </c>
      <c r="F18" s="3">
        <v>194.9</v>
      </c>
      <c r="G18" s="21">
        <f t="shared" si="1"/>
        <v>2.0565552699229085E-3</v>
      </c>
      <c r="H18" s="3">
        <v>185.46666666666667</v>
      </c>
      <c r="I18" s="21">
        <f t="shared" si="2"/>
        <v>7.0588235294118265E-3</v>
      </c>
      <c r="J18" s="3">
        <v>171.2</v>
      </c>
      <c r="K18" s="21">
        <f t="shared" si="3"/>
        <v>1.0029498525073679E-2</v>
      </c>
      <c r="L18" s="3">
        <v>181.2</v>
      </c>
      <c r="M18" s="21">
        <f t="shared" si="4"/>
        <v>5.5493895671476145E-3</v>
      </c>
      <c r="N18">
        <v>172.33333333333334</v>
      </c>
      <c r="O18" s="21">
        <f t="shared" si="5"/>
        <v>5.0544323483669067E-3</v>
      </c>
      <c r="P18" s="3">
        <v>176.5</v>
      </c>
      <c r="Q18" s="21">
        <f t="shared" si="6"/>
        <v>1.7026106696935947E-3</v>
      </c>
      <c r="R18" s="3">
        <v>173.9</v>
      </c>
      <c r="S18" s="21">
        <f t="shared" si="7"/>
        <v>4.6216060080878762E-3</v>
      </c>
      <c r="T18">
        <v>167.4</v>
      </c>
      <c r="U18" s="21">
        <f t="shared" si="8"/>
        <v>2.9958058717795086E-3</v>
      </c>
      <c r="V18">
        <v>180.8</v>
      </c>
      <c r="W18" s="21">
        <f t="shared" si="9"/>
        <v>6.1213132999444787E-3</v>
      </c>
    </row>
    <row r="19" spans="1:23" x14ac:dyDescent="0.3">
      <c r="A19" t="s">
        <v>30</v>
      </c>
      <c r="B19">
        <v>2022</v>
      </c>
      <c r="C19" t="s">
        <v>45</v>
      </c>
      <c r="D19" s="3">
        <v>175.97692307692307</v>
      </c>
      <c r="E19" s="21">
        <f t="shared" si="0"/>
        <v>1.4007441453272001E-3</v>
      </c>
      <c r="F19" s="3">
        <v>195.5</v>
      </c>
      <c r="G19" s="21">
        <f t="shared" si="1"/>
        <v>3.0785017957926848E-3</v>
      </c>
      <c r="H19" s="3">
        <v>186.43333333333331</v>
      </c>
      <c r="I19" s="21">
        <f t="shared" si="2"/>
        <v>5.2120776419840413E-3</v>
      </c>
      <c r="J19" s="3">
        <v>171.8</v>
      </c>
      <c r="K19" s="21">
        <f t="shared" si="3"/>
        <v>3.5046728971963948E-3</v>
      </c>
      <c r="L19" s="3">
        <v>182.3</v>
      </c>
      <c r="M19" s="21">
        <f t="shared" si="4"/>
        <v>6.070640176600567E-3</v>
      </c>
      <c r="N19">
        <v>173.23333333333335</v>
      </c>
      <c r="O19" s="21">
        <f t="shared" si="5"/>
        <v>5.2224371373307873E-3</v>
      </c>
      <c r="P19" s="3">
        <v>176.9</v>
      </c>
      <c r="Q19" s="21">
        <f t="shared" si="6"/>
        <v>2.2662889518413921E-3</v>
      </c>
      <c r="R19" s="3">
        <v>174.6</v>
      </c>
      <c r="S19" s="21">
        <f t="shared" si="7"/>
        <v>4.0253018976422576E-3</v>
      </c>
      <c r="T19">
        <v>167.5</v>
      </c>
      <c r="U19" s="21">
        <f t="shared" si="8"/>
        <v>5.9737156511346663E-4</v>
      </c>
      <c r="V19">
        <v>181.9</v>
      </c>
      <c r="W19" s="21">
        <f t="shared" si="9"/>
        <v>6.0840707964601448E-3</v>
      </c>
    </row>
    <row r="20" spans="1:23" x14ac:dyDescent="0.3">
      <c r="A20" t="s">
        <v>30</v>
      </c>
      <c r="B20">
        <v>2022</v>
      </c>
      <c r="C20" t="s">
        <v>46</v>
      </c>
      <c r="D20" s="3">
        <v>175.16153846153844</v>
      </c>
      <c r="E20" s="21">
        <f t="shared" si="0"/>
        <v>-4.6334746688814939E-3</v>
      </c>
      <c r="F20" s="3">
        <v>195.9</v>
      </c>
      <c r="G20" s="21">
        <f t="shared" si="1"/>
        <v>2.0460358056266273E-3</v>
      </c>
      <c r="H20" s="3">
        <v>187.26666666666665</v>
      </c>
      <c r="I20" s="21">
        <f t="shared" si="2"/>
        <v>4.4698730556052722E-3</v>
      </c>
      <c r="J20" s="3">
        <v>170.7</v>
      </c>
      <c r="K20" s="21">
        <f t="shared" si="3"/>
        <v>-6.4027939464494921E-3</v>
      </c>
      <c r="L20" s="3">
        <v>183.5</v>
      </c>
      <c r="M20" s="21">
        <f t="shared" si="4"/>
        <v>6.5825562260010346E-3</v>
      </c>
      <c r="N20">
        <v>174.43333333333331</v>
      </c>
      <c r="O20" s="21">
        <f t="shared" si="5"/>
        <v>6.9270733115256496E-3</v>
      </c>
      <c r="P20" s="3">
        <v>177.3</v>
      </c>
      <c r="Q20" s="21">
        <f t="shared" si="6"/>
        <v>2.2611644997173864E-3</v>
      </c>
      <c r="R20" s="3">
        <v>175.5</v>
      </c>
      <c r="S20" s="21">
        <f t="shared" si="7"/>
        <v>5.1546391752577648E-3</v>
      </c>
      <c r="T20">
        <v>167.8</v>
      </c>
      <c r="U20" s="21">
        <f t="shared" si="8"/>
        <v>1.7910447761194709E-3</v>
      </c>
      <c r="V20">
        <v>182.8</v>
      </c>
      <c r="W20" s="21">
        <f t="shared" si="9"/>
        <v>4.9477735019241654E-3</v>
      </c>
    </row>
    <row r="21" spans="1:23" x14ac:dyDescent="0.3">
      <c r="A21" t="s">
        <v>30</v>
      </c>
      <c r="B21">
        <v>2023</v>
      </c>
      <c r="C21" t="s">
        <v>31</v>
      </c>
      <c r="D21" s="3">
        <v>175.63076923076926</v>
      </c>
      <c r="E21" s="21">
        <f t="shared" si="0"/>
        <v>2.6788459004877469E-3</v>
      </c>
      <c r="F21" s="3">
        <v>196.9</v>
      </c>
      <c r="G21" s="21">
        <f t="shared" si="1"/>
        <v>5.1046452271567124E-3</v>
      </c>
      <c r="H21" s="3">
        <v>187.96666666666667</v>
      </c>
      <c r="I21" s="21">
        <f t="shared" si="2"/>
        <v>3.737985048059899E-3</v>
      </c>
      <c r="J21" s="3">
        <v>172.1</v>
      </c>
      <c r="K21" s="21">
        <f t="shared" si="3"/>
        <v>8.201523140011751E-3</v>
      </c>
      <c r="L21" s="3">
        <v>184.7</v>
      </c>
      <c r="M21" s="21">
        <f t="shared" si="4"/>
        <v>6.539509536784679E-3</v>
      </c>
      <c r="N21">
        <v>175.79999999999998</v>
      </c>
      <c r="O21" s="21">
        <f t="shared" si="5"/>
        <v>7.8348939422893619E-3</v>
      </c>
      <c r="P21" s="3">
        <v>177.8</v>
      </c>
      <c r="Q21" s="21">
        <f t="shared" si="6"/>
        <v>2.8200789622109417E-3</v>
      </c>
      <c r="R21" s="3">
        <v>176.5</v>
      </c>
      <c r="S21" s="21">
        <f t="shared" si="7"/>
        <v>5.6980056980056983E-3</v>
      </c>
      <c r="T21">
        <v>168.2</v>
      </c>
      <c r="U21" s="21">
        <f t="shared" si="8"/>
        <v>2.3837902264599357E-3</v>
      </c>
      <c r="V21">
        <v>183.2</v>
      </c>
      <c r="W21" s="21">
        <f t="shared" si="9"/>
        <v>2.1881838074397004E-3</v>
      </c>
    </row>
    <row r="22" spans="1:23" x14ac:dyDescent="0.3">
      <c r="A22" t="s">
        <v>30</v>
      </c>
      <c r="B22">
        <v>2023</v>
      </c>
      <c r="C22" t="s">
        <v>35</v>
      </c>
      <c r="D22" s="3">
        <v>174.28461538461536</v>
      </c>
      <c r="E22" s="21">
        <f t="shared" si="0"/>
        <v>-7.6646811492644754E-3</v>
      </c>
      <c r="F22" s="3">
        <v>198.3</v>
      </c>
      <c r="G22" s="21">
        <f t="shared" si="1"/>
        <v>7.1102082275266917E-3</v>
      </c>
      <c r="H22" s="3">
        <v>188.86666666666667</v>
      </c>
      <c r="I22" s="21">
        <f t="shared" si="2"/>
        <v>4.7880829934385831E-3</v>
      </c>
      <c r="J22" s="3">
        <v>173.5</v>
      </c>
      <c r="K22" s="21">
        <f t="shared" si="3"/>
        <v>8.1348053457292614E-3</v>
      </c>
      <c r="L22" s="3">
        <v>186.6</v>
      </c>
      <c r="M22" s="21">
        <f t="shared" si="4"/>
        <v>1.0286951813752061E-2</v>
      </c>
      <c r="N22">
        <v>177.36666666666665</v>
      </c>
      <c r="O22" s="21">
        <f t="shared" si="5"/>
        <v>8.9116420174440453E-3</v>
      </c>
      <c r="P22" s="3">
        <v>178.5</v>
      </c>
      <c r="Q22" s="21">
        <f t="shared" si="6"/>
        <v>3.9370078740156838E-3</v>
      </c>
      <c r="R22" s="3">
        <v>177.9</v>
      </c>
      <c r="S22" s="21">
        <f t="shared" si="7"/>
        <v>7.932011331444791E-3</v>
      </c>
      <c r="T22">
        <v>169</v>
      </c>
      <c r="U22" s="21">
        <f t="shared" si="8"/>
        <v>4.756242568371055E-3</v>
      </c>
      <c r="V22">
        <v>181.6</v>
      </c>
      <c r="W22" s="21">
        <f t="shared" si="9"/>
        <v>-8.7336244541484417E-3</v>
      </c>
    </row>
    <row r="23" spans="1:23" x14ac:dyDescent="0.3">
      <c r="A23" t="s">
        <v>30</v>
      </c>
      <c r="B23">
        <v>2023</v>
      </c>
      <c r="C23" t="s">
        <v>36</v>
      </c>
      <c r="D23" s="3">
        <v>174.2923076923077</v>
      </c>
      <c r="E23" s="21">
        <f t="shared" si="0"/>
        <v>4.4136469965305305E-5</v>
      </c>
      <c r="F23" s="3">
        <v>198.4</v>
      </c>
      <c r="G23" s="21">
        <f t="shared" si="1"/>
        <v>5.0428643469487802E-4</v>
      </c>
      <c r="H23" s="3">
        <v>188.86666666666667</v>
      </c>
      <c r="I23" s="21">
        <f t="shared" si="2"/>
        <v>0</v>
      </c>
      <c r="J23" s="3">
        <v>173.5</v>
      </c>
      <c r="K23" s="21">
        <f t="shared" si="3"/>
        <v>0</v>
      </c>
      <c r="L23" s="3">
        <v>186.6</v>
      </c>
      <c r="M23" s="21">
        <f t="shared" si="4"/>
        <v>0</v>
      </c>
      <c r="N23">
        <v>177.36666666666665</v>
      </c>
      <c r="O23" s="21">
        <f t="shared" si="5"/>
        <v>0</v>
      </c>
      <c r="P23" s="3">
        <v>178.5</v>
      </c>
      <c r="Q23" s="21">
        <f t="shared" si="6"/>
        <v>0</v>
      </c>
      <c r="R23" s="3">
        <v>177.9</v>
      </c>
      <c r="S23" s="21">
        <f t="shared" si="7"/>
        <v>0</v>
      </c>
      <c r="T23">
        <v>169</v>
      </c>
      <c r="U23" s="21">
        <f t="shared" si="8"/>
        <v>0</v>
      </c>
      <c r="V23">
        <v>181.4</v>
      </c>
      <c r="W23" s="21">
        <f t="shared" si="9"/>
        <v>-1.1013215859030211E-3</v>
      </c>
    </row>
    <row r="24" spans="1:23" x14ac:dyDescent="0.3">
      <c r="A24" t="s">
        <v>30</v>
      </c>
      <c r="B24">
        <v>2023</v>
      </c>
      <c r="C24" t="s">
        <v>37</v>
      </c>
      <c r="D24" s="3">
        <v>174.93846153846152</v>
      </c>
      <c r="E24" s="21">
        <f t="shared" si="0"/>
        <v>3.7072998499424895E-3</v>
      </c>
      <c r="F24" s="3">
        <v>199.5</v>
      </c>
      <c r="G24" s="21">
        <f t="shared" si="1"/>
        <v>5.5443548387096482E-3</v>
      </c>
      <c r="H24" s="3">
        <v>189.4</v>
      </c>
      <c r="I24" s="21">
        <f t="shared" si="2"/>
        <v>2.8238616307800818E-3</v>
      </c>
      <c r="J24" s="3">
        <v>174.35000000000002</v>
      </c>
      <c r="K24" s="21">
        <f t="shared" si="3"/>
        <v>4.89913544668601E-3</v>
      </c>
      <c r="L24" s="3">
        <v>187.2</v>
      </c>
      <c r="M24" s="21">
        <f t="shared" si="4"/>
        <v>3.2154340836012558E-3</v>
      </c>
      <c r="N24">
        <v>178.69999999999996</v>
      </c>
      <c r="O24" s="21">
        <f t="shared" si="5"/>
        <v>7.5173839503851602E-3</v>
      </c>
      <c r="P24" s="3">
        <v>179.4</v>
      </c>
      <c r="Q24" s="21">
        <f t="shared" si="6"/>
        <v>5.0420168067227206E-3</v>
      </c>
      <c r="R24" s="3">
        <v>178.9</v>
      </c>
      <c r="S24" s="21">
        <f t="shared" si="7"/>
        <v>5.6211354693648111E-3</v>
      </c>
      <c r="T24">
        <v>169.4</v>
      </c>
      <c r="U24" s="21">
        <f t="shared" si="8"/>
        <v>2.3668639053254772E-3</v>
      </c>
      <c r="V24">
        <v>181.5</v>
      </c>
      <c r="W24" s="21">
        <f t="shared" si="9"/>
        <v>5.5126791620724541E-4</v>
      </c>
    </row>
    <row r="25" spans="1:23" x14ac:dyDescent="0.3">
      <c r="A25" t="s">
        <v>30</v>
      </c>
      <c r="B25">
        <v>2023</v>
      </c>
      <c r="C25" t="s">
        <v>38</v>
      </c>
      <c r="D25" s="3">
        <v>176.20769230769235</v>
      </c>
      <c r="E25" s="21">
        <f t="shared" si="0"/>
        <v>7.2552985665292396E-3</v>
      </c>
      <c r="F25" s="3">
        <v>199.9</v>
      </c>
      <c r="G25" s="21">
        <f t="shared" si="1"/>
        <v>2.0050125313283494E-3</v>
      </c>
      <c r="H25" s="3">
        <v>189.9666666666667</v>
      </c>
      <c r="I25" s="21">
        <f t="shared" si="2"/>
        <v>2.9919042590638399E-3</v>
      </c>
      <c r="J25" s="3">
        <v>175.4</v>
      </c>
      <c r="K25" s="21">
        <f t="shared" si="3"/>
        <v>6.0223687983939362E-3</v>
      </c>
      <c r="L25" s="3">
        <v>187.8</v>
      </c>
      <c r="M25" s="21">
        <f t="shared" si="4"/>
        <v>3.2051282051283269E-3</v>
      </c>
      <c r="N25">
        <v>179.5</v>
      </c>
      <c r="O25" s="21">
        <f t="shared" si="5"/>
        <v>4.4767767207612753E-3</v>
      </c>
      <c r="P25" s="3">
        <v>180.3</v>
      </c>
      <c r="Q25" s="21">
        <f t="shared" si="6"/>
        <v>5.0167224080267872E-3</v>
      </c>
      <c r="R25" s="3">
        <v>179.5</v>
      </c>
      <c r="S25" s="21">
        <f t="shared" si="7"/>
        <v>3.3538289547232771E-3</v>
      </c>
      <c r="T25">
        <v>169.7</v>
      </c>
      <c r="U25" s="21">
        <f t="shared" si="8"/>
        <v>1.7709563164107611E-3</v>
      </c>
      <c r="V25">
        <v>182.5</v>
      </c>
      <c r="W25" s="21">
        <f t="shared" si="9"/>
        <v>5.5096418732782371E-3</v>
      </c>
    </row>
    <row r="26" spans="1:23" x14ac:dyDescent="0.3">
      <c r="E26" s="42">
        <f>CORREL(E3:E25,$W$3:$W$25)</f>
        <v>0.56061489478787774</v>
      </c>
      <c r="G26" s="42">
        <f>CORREL(G3:G25,$W$3:$W$25)</f>
        <v>-0.13125094053878861</v>
      </c>
      <c r="I26" s="42">
        <f>CORREL(I3:I25,$W$3:$W$25)</f>
        <v>0.52360026833786644</v>
      </c>
      <c r="K26" s="42">
        <f>CORREL(K3:K25,$W$3:$W$25)</f>
        <v>0.13957666403332386</v>
      </c>
      <c r="M26" s="42">
        <f>CORREL(M3:M25,$W$3:$W$25)</f>
        <v>-0.16311057055628359</v>
      </c>
      <c r="O26" s="42">
        <f>CORREL(O3:O25,$W$3:$W$25)</f>
        <v>-5.5300775826085585E-2</v>
      </c>
      <c r="Q26" s="42">
        <f>CORREL(Q3:Q25,$W$3:$W$25)</f>
        <v>0.20477595082441735</v>
      </c>
      <c r="S26" s="42">
        <f>CORREL(S3:S25,$W$3:$W$25)</f>
        <v>0.32475036867637491</v>
      </c>
      <c r="U26" s="42">
        <f>CORREL(U3:U25,$W$3:$W$25)</f>
        <v>0.480439426185443</v>
      </c>
      <c r="W26" s="42"/>
    </row>
    <row r="27" spans="1:23" x14ac:dyDescent="0.3">
      <c r="E27" s="42"/>
      <c r="G27" s="42"/>
      <c r="I27" s="42"/>
      <c r="K27" s="42"/>
      <c r="M27" s="42"/>
      <c r="O27" s="42"/>
      <c r="Q27" s="42"/>
      <c r="S27" s="42"/>
      <c r="U27" s="42"/>
      <c r="W27" s="42"/>
    </row>
    <row r="28" spans="1:23" x14ac:dyDescent="0.3">
      <c r="E28" s="42"/>
      <c r="G28" s="42"/>
      <c r="I28" s="42"/>
      <c r="K28" s="42"/>
      <c r="M28" s="42"/>
      <c r="O28" s="42"/>
      <c r="Q28" s="42"/>
      <c r="S28" s="42"/>
      <c r="U28" s="42"/>
      <c r="W28" s="42"/>
    </row>
    <row r="29" spans="1:23" x14ac:dyDescent="0.3">
      <c r="E29" s="42"/>
      <c r="G29" s="42"/>
      <c r="I29" s="42"/>
      <c r="K29" s="42"/>
      <c r="M29" s="42"/>
      <c r="O29" s="42"/>
      <c r="Q29" s="42"/>
      <c r="S29" s="42"/>
      <c r="U29" s="42"/>
      <c r="W29" s="42"/>
    </row>
    <row r="30" spans="1:23" x14ac:dyDescent="0.3">
      <c r="E30" s="42"/>
      <c r="G30" s="42"/>
      <c r="I30" s="42"/>
      <c r="K30" s="42"/>
      <c r="M30" s="42"/>
      <c r="O30" s="42"/>
      <c r="Q30" s="42"/>
      <c r="S30" s="42"/>
      <c r="U30" s="42"/>
      <c r="W30" s="42"/>
    </row>
    <row r="31" spans="1:23" x14ac:dyDescent="0.3">
      <c r="E31" s="42"/>
      <c r="G31" s="42"/>
      <c r="I31" s="42"/>
      <c r="K31" s="42"/>
      <c r="M31" s="42"/>
      <c r="O31" s="42"/>
      <c r="Q31" s="42"/>
      <c r="S31" s="42"/>
      <c r="U31" s="42"/>
      <c r="W31" s="42"/>
    </row>
    <row r="33" spans="1:31" x14ac:dyDescent="0.3">
      <c r="A33" t="s">
        <v>0</v>
      </c>
      <c r="B33" t="s">
        <v>1</v>
      </c>
      <c r="C33" t="s">
        <v>2</v>
      </c>
      <c r="D33" s="1" t="s">
        <v>49</v>
      </c>
      <c r="E33" s="1" t="s">
        <v>112</v>
      </c>
      <c r="F33" s="1" t="s">
        <v>56</v>
      </c>
      <c r="G33" s="1" t="s">
        <v>113</v>
      </c>
      <c r="H33" s="1" t="s">
        <v>51</v>
      </c>
      <c r="I33" s="1" t="s">
        <v>114</v>
      </c>
      <c r="J33" s="1" t="s">
        <v>55</v>
      </c>
      <c r="K33" s="1" t="s">
        <v>115</v>
      </c>
      <c r="L33" s="1" t="s">
        <v>54</v>
      </c>
      <c r="M33" s="1" t="s">
        <v>116</v>
      </c>
      <c r="N33" s="1" t="s">
        <v>122</v>
      </c>
      <c r="O33" s="1" t="s">
        <v>117</v>
      </c>
      <c r="P33" s="1" t="s">
        <v>53</v>
      </c>
      <c r="Q33" s="1" t="s">
        <v>121</v>
      </c>
      <c r="R33" s="1" t="s">
        <v>28</v>
      </c>
      <c r="S33" s="1" t="s">
        <v>118</v>
      </c>
      <c r="T33" t="s">
        <v>125</v>
      </c>
      <c r="U33" s="1" t="s">
        <v>120</v>
      </c>
      <c r="V33" s="1" t="s">
        <v>21</v>
      </c>
      <c r="W33" s="1" t="s">
        <v>119</v>
      </c>
      <c r="Z33" s="1" t="s">
        <v>123</v>
      </c>
      <c r="AA33" s="1" t="s">
        <v>124</v>
      </c>
    </row>
    <row r="34" spans="1:31" x14ac:dyDescent="0.3">
      <c r="A34" t="s">
        <v>34</v>
      </c>
      <c r="B34">
        <v>2021</v>
      </c>
      <c r="C34" t="s">
        <v>39</v>
      </c>
      <c r="D34" s="3">
        <v>164.14615384615385</v>
      </c>
      <c r="E34" s="43"/>
      <c r="F34" s="3">
        <v>190.8</v>
      </c>
      <c r="G34" s="43"/>
      <c r="H34" s="3">
        <v>158.23333333333332</v>
      </c>
      <c r="I34" s="43"/>
      <c r="J34" s="3">
        <v>160.5</v>
      </c>
      <c r="K34" s="43"/>
      <c r="L34" s="3">
        <v>166.3</v>
      </c>
      <c r="M34" s="43"/>
      <c r="N34" s="3">
        <v>156.16666666666669</v>
      </c>
      <c r="O34" s="43"/>
      <c r="P34" s="3">
        <v>161.69999999999999</v>
      </c>
      <c r="Q34" s="43"/>
      <c r="R34" s="3">
        <v>157.6</v>
      </c>
      <c r="S34" s="43"/>
      <c r="T34">
        <v>150.69999999999999</v>
      </c>
      <c r="V34">
        <v>159.80000000000001</v>
      </c>
      <c r="Z34" s="1" t="s">
        <v>112</v>
      </c>
      <c r="AA34" s="20">
        <v>0.44707259916713316</v>
      </c>
      <c r="AC34" s="50" t="s">
        <v>127</v>
      </c>
      <c r="AD34" s="50"/>
      <c r="AE34" s="50"/>
    </row>
    <row r="35" spans="1:31" x14ac:dyDescent="0.3">
      <c r="A35" t="s">
        <v>34</v>
      </c>
      <c r="B35">
        <v>2021</v>
      </c>
      <c r="C35" t="s">
        <v>40</v>
      </c>
      <c r="D35" s="3">
        <v>165.15384615384616</v>
      </c>
      <c r="E35" s="21">
        <f>(D35-D34)/D34</f>
        <v>6.1389943296312026E-3</v>
      </c>
      <c r="F35" s="3">
        <v>191.2</v>
      </c>
      <c r="G35" s="21">
        <f>(F35-F34)/F34</f>
        <v>2.0964360587000905E-3</v>
      </c>
      <c r="H35" s="3">
        <v>159.1</v>
      </c>
      <c r="I35" s="21">
        <f>(H35-H34)/H34</f>
        <v>5.4771434590268021E-3</v>
      </c>
      <c r="J35" s="3">
        <v>161.5</v>
      </c>
      <c r="K35" s="21">
        <f>(J35-J34)/J34</f>
        <v>6.2305295950155761E-3</v>
      </c>
      <c r="L35" s="3">
        <v>167</v>
      </c>
      <c r="M35" s="21">
        <f>(L35-L34)/L34</f>
        <v>4.2092603728201361E-3</v>
      </c>
      <c r="N35" s="3">
        <v>157.06666666666669</v>
      </c>
      <c r="O35" s="21">
        <f>(N35-N34)/N34</f>
        <v>5.7630736392743154E-3</v>
      </c>
      <c r="P35" s="3">
        <v>163.19999999999999</v>
      </c>
      <c r="Q35" s="21">
        <f>(P35-P34)/P34</f>
        <v>9.2764378478664197E-3</v>
      </c>
      <c r="R35" s="3">
        <v>159</v>
      </c>
      <c r="S35" s="21">
        <f>(R35-R34)/R34</f>
        <v>8.883248730964504E-3</v>
      </c>
      <c r="T35">
        <v>153.1</v>
      </c>
      <c r="U35" s="21">
        <f>(T35-T34)/T34</f>
        <v>1.5925680159256841E-2</v>
      </c>
      <c r="V35">
        <v>160.69999999999999</v>
      </c>
      <c r="W35" s="21">
        <f>(V35-V34)/V34</f>
        <v>5.6320400500624356E-3</v>
      </c>
      <c r="Z35" s="1" t="s">
        <v>113</v>
      </c>
      <c r="AA35" s="20">
        <v>-2.0877259845417707E-2</v>
      </c>
      <c r="AC35" s="50"/>
      <c r="AD35" s="50"/>
      <c r="AE35" s="50"/>
    </row>
    <row r="36" spans="1:31" x14ac:dyDescent="0.3">
      <c r="A36" t="s">
        <v>34</v>
      </c>
      <c r="B36">
        <v>2021</v>
      </c>
      <c r="C36" t="s">
        <v>41</v>
      </c>
      <c r="D36" s="3">
        <v>164.76923076923077</v>
      </c>
      <c r="E36" s="21">
        <f t="shared" ref="E36:E57" si="10">(D36-D35)/D35</f>
        <v>-2.328830926874722E-3</v>
      </c>
      <c r="F36" s="3">
        <v>192.1</v>
      </c>
      <c r="G36" s="21">
        <f t="shared" ref="G36:G57" si="11">(F36-F35)/F35</f>
        <v>4.7071129707113267E-3</v>
      </c>
      <c r="H36" s="3">
        <v>161</v>
      </c>
      <c r="I36" s="21">
        <f t="shared" ref="I36:I57" si="12">(H36-H35)/H35</f>
        <v>1.1942174732872443E-2</v>
      </c>
      <c r="J36" s="3">
        <v>162.1</v>
      </c>
      <c r="K36" s="21">
        <f t="shared" ref="K36:K57" si="13">(J36-J35)/J35</f>
        <v>3.7151702786377356E-3</v>
      </c>
      <c r="L36" s="3">
        <v>168.4</v>
      </c>
      <c r="M36" s="21">
        <f t="shared" ref="M36:M57" si="14">(L36-L35)/L35</f>
        <v>8.3832335329341659E-3</v>
      </c>
      <c r="N36" s="3">
        <v>158.36666666666667</v>
      </c>
      <c r="O36" s="21">
        <f t="shared" ref="O36:O57" si="15">(N36-N35)/N35</f>
        <v>8.2767402376908925E-3</v>
      </c>
      <c r="P36" s="3">
        <v>163.80000000000001</v>
      </c>
      <c r="Q36" s="21">
        <f t="shared" ref="Q36:Q57" si="16">(P36-P35)/P35</f>
        <v>3.6764705882354337E-3</v>
      </c>
      <c r="R36" s="3">
        <v>160</v>
      </c>
      <c r="S36" s="21">
        <f t="shared" ref="S36:S57" si="17">(R36-R35)/R35</f>
        <v>6.2893081761006293E-3</v>
      </c>
      <c r="T36">
        <v>154</v>
      </c>
      <c r="U36" s="21">
        <f t="shared" ref="U36:U57" si="18">(T36-T35)/T35</f>
        <v>5.8785107772697954E-3</v>
      </c>
      <c r="V36">
        <v>162.6</v>
      </c>
      <c r="W36" s="21">
        <f t="shared" ref="W36:W57" si="19">(V36-V35)/V35</f>
        <v>1.1823273179838244E-2</v>
      </c>
      <c r="Z36" s="1" t="s">
        <v>114</v>
      </c>
      <c r="AA36" s="20">
        <v>0.49076567821336964</v>
      </c>
      <c r="AC36" s="50"/>
      <c r="AD36" s="50"/>
      <c r="AE36" s="50"/>
    </row>
    <row r="37" spans="1:31" x14ac:dyDescent="0.3">
      <c r="A37" t="s">
        <v>34</v>
      </c>
      <c r="B37">
        <v>2021</v>
      </c>
      <c r="C37" t="s">
        <v>42</v>
      </c>
      <c r="D37" s="3">
        <v>164.76923076923077</v>
      </c>
      <c r="E37" s="21">
        <f t="shared" si="10"/>
        <v>0</v>
      </c>
      <c r="F37" s="3">
        <v>192.1</v>
      </c>
      <c r="G37" s="21">
        <f t="shared" si="11"/>
        <v>0</v>
      </c>
      <c r="H37" s="3">
        <v>161.06666666666666</v>
      </c>
      <c r="I37" s="21">
        <f t="shared" si="12"/>
        <v>4.1407867494821664E-4</v>
      </c>
      <c r="J37" s="3">
        <v>162.1</v>
      </c>
      <c r="K37" s="21">
        <f t="shared" si="13"/>
        <v>0</v>
      </c>
      <c r="L37" s="3">
        <v>168.4</v>
      </c>
      <c r="M37" s="21">
        <f t="shared" si="14"/>
        <v>0</v>
      </c>
      <c r="N37" s="3">
        <v>158.4</v>
      </c>
      <c r="O37" s="21">
        <f t="shared" si="15"/>
        <v>2.1048200378866411E-4</v>
      </c>
      <c r="P37" s="3">
        <v>163.69999999999999</v>
      </c>
      <c r="Q37" s="21">
        <f t="shared" si="16"/>
        <v>-6.1050061050074928E-4</v>
      </c>
      <c r="R37" s="3">
        <v>160</v>
      </c>
      <c r="S37" s="21">
        <f t="shared" si="17"/>
        <v>0</v>
      </c>
      <c r="T37">
        <v>154</v>
      </c>
      <c r="U37" s="21">
        <f t="shared" si="18"/>
        <v>0</v>
      </c>
      <c r="V37">
        <v>162.6</v>
      </c>
      <c r="W37" s="21">
        <f t="shared" si="19"/>
        <v>0</v>
      </c>
      <c r="Z37" s="1" t="s">
        <v>115</v>
      </c>
      <c r="AA37" s="20">
        <v>0.17406876644647432</v>
      </c>
      <c r="AC37" s="50"/>
      <c r="AD37" s="50"/>
      <c r="AE37" s="50"/>
    </row>
    <row r="38" spans="1:31" x14ac:dyDescent="0.3">
      <c r="A38" t="s">
        <v>34</v>
      </c>
      <c r="B38">
        <v>2021</v>
      </c>
      <c r="C38" t="s">
        <v>43</v>
      </c>
      <c r="D38" s="3">
        <v>167.34615384615384</v>
      </c>
      <c r="E38" s="21">
        <f t="shared" si="10"/>
        <v>1.5639589169000868E-2</v>
      </c>
      <c r="F38" s="3">
        <v>192.7</v>
      </c>
      <c r="G38" s="21">
        <f t="shared" si="11"/>
        <v>3.1233732431025212E-3</v>
      </c>
      <c r="H38" s="3">
        <v>162.1</v>
      </c>
      <c r="I38" s="21">
        <f t="shared" si="12"/>
        <v>6.4155629139072733E-3</v>
      </c>
      <c r="J38" s="3">
        <v>163.6</v>
      </c>
      <c r="K38" s="21">
        <f t="shared" si="13"/>
        <v>9.2535471930906849E-3</v>
      </c>
      <c r="L38" s="3">
        <v>169.1</v>
      </c>
      <c r="M38" s="21">
        <f t="shared" si="14"/>
        <v>4.1567695961994573E-3</v>
      </c>
      <c r="N38" s="3">
        <v>159.26666666666668</v>
      </c>
      <c r="O38" s="21">
        <f t="shared" si="15"/>
        <v>5.4713804713805193E-3</v>
      </c>
      <c r="P38" s="3">
        <v>163.9</v>
      </c>
      <c r="Q38" s="21">
        <f t="shared" si="16"/>
        <v>1.2217470983507458E-3</v>
      </c>
      <c r="R38" s="3">
        <v>161</v>
      </c>
      <c r="S38" s="21">
        <f t="shared" si="17"/>
        <v>6.2500000000000003E-3</v>
      </c>
      <c r="T38">
        <v>155.69999999999999</v>
      </c>
      <c r="U38" s="21">
        <f t="shared" si="18"/>
        <v>1.1038961038960965E-2</v>
      </c>
      <c r="V38">
        <v>164.2</v>
      </c>
      <c r="W38" s="21">
        <f t="shared" si="19"/>
        <v>9.8400984009839754E-3</v>
      </c>
      <c r="Z38" s="1" t="s">
        <v>116</v>
      </c>
      <c r="AA38" s="20">
        <v>0.13420269425139825</v>
      </c>
    </row>
    <row r="39" spans="1:31" x14ac:dyDescent="0.3">
      <c r="A39" t="s">
        <v>34</v>
      </c>
      <c r="B39">
        <v>2021</v>
      </c>
      <c r="C39" t="s">
        <v>45</v>
      </c>
      <c r="D39" s="3">
        <v>168.77692307692308</v>
      </c>
      <c r="E39" s="21">
        <f t="shared" si="10"/>
        <v>8.5497586761664746E-3</v>
      </c>
      <c r="F39" s="3">
        <v>192.9</v>
      </c>
      <c r="G39" s="21">
        <f t="shared" si="11"/>
        <v>1.0378827192528131E-3</v>
      </c>
      <c r="H39" s="3">
        <v>163.46666666666667</v>
      </c>
      <c r="I39" s="21">
        <f t="shared" si="12"/>
        <v>8.4310096648160041E-3</v>
      </c>
      <c r="J39" s="3">
        <v>164.2</v>
      </c>
      <c r="K39" s="21">
        <f t="shared" si="13"/>
        <v>3.6674816625916523E-3</v>
      </c>
      <c r="L39" s="3">
        <v>169.9</v>
      </c>
      <c r="M39" s="21">
        <f t="shared" si="14"/>
        <v>4.730928444707341E-3</v>
      </c>
      <c r="N39" s="3">
        <v>160.43333333333334</v>
      </c>
      <c r="O39" s="21">
        <f t="shared" si="15"/>
        <v>7.3252406864796381E-3</v>
      </c>
      <c r="P39" s="3">
        <v>164.3</v>
      </c>
      <c r="Q39" s="21">
        <f t="shared" si="16"/>
        <v>2.4405125076266362E-3</v>
      </c>
      <c r="R39" s="3">
        <v>161.4</v>
      </c>
      <c r="S39" s="21">
        <f t="shared" si="17"/>
        <v>2.4844720496894762E-3</v>
      </c>
      <c r="T39">
        <v>154.80000000000001</v>
      </c>
      <c r="U39" s="21">
        <f t="shared" si="18"/>
        <v>-5.7803468208091026E-3</v>
      </c>
      <c r="V39">
        <v>163.9</v>
      </c>
      <c r="W39" s="21">
        <f t="shared" si="19"/>
        <v>-1.8270401948841837E-3</v>
      </c>
      <c r="Z39" s="1" t="s">
        <v>117</v>
      </c>
      <c r="AA39" s="20">
        <v>0.1449</v>
      </c>
    </row>
    <row r="40" spans="1:31" x14ac:dyDescent="0.3">
      <c r="A40" t="s">
        <v>34</v>
      </c>
      <c r="B40">
        <v>2021</v>
      </c>
      <c r="C40" t="s">
        <v>46</v>
      </c>
      <c r="D40" s="3">
        <v>167.76153846153846</v>
      </c>
      <c r="E40" s="21">
        <f t="shared" si="10"/>
        <v>-6.0161341780229005E-3</v>
      </c>
      <c r="F40" s="3">
        <v>192.4</v>
      </c>
      <c r="G40" s="21">
        <f t="shared" si="11"/>
        <v>-2.592016588906169E-3</v>
      </c>
      <c r="H40" s="3">
        <v>164.73333333333332</v>
      </c>
      <c r="I40" s="21">
        <f t="shared" si="12"/>
        <v>7.7487765089721749E-3</v>
      </c>
      <c r="J40" s="3">
        <v>163.4</v>
      </c>
      <c r="K40" s="21">
        <f t="shared" si="13"/>
        <v>-4.8721071863579964E-3</v>
      </c>
      <c r="L40" s="3">
        <v>170.6</v>
      </c>
      <c r="M40" s="21">
        <f t="shared" si="14"/>
        <v>4.1200706297821578E-3</v>
      </c>
      <c r="N40" s="3">
        <v>161.13333333333333</v>
      </c>
      <c r="O40" s="21">
        <f t="shared" si="15"/>
        <v>4.3631830459172367E-3</v>
      </c>
      <c r="P40" s="3">
        <v>164.4</v>
      </c>
      <c r="Q40" s="21">
        <f t="shared" si="16"/>
        <v>6.0864272671938102E-4</v>
      </c>
      <c r="R40" s="3">
        <v>162</v>
      </c>
      <c r="S40" s="21">
        <f t="shared" si="17"/>
        <v>3.7174721189590725E-3</v>
      </c>
      <c r="T40">
        <v>155.69999999999999</v>
      </c>
      <c r="U40" s="21">
        <f t="shared" si="18"/>
        <v>5.8139534883719455E-3</v>
      </c>
      <c r="V40">
        <v>164.1</v>
      </c>
      <c r="W40" s="21">
        <f t="shared" si="19"/>
        <v>1.2202562538132314E-3</v>
      </c>
      <c r="Z40" s="1" t="s">
        <v>121</v>
      </c>
      <c r="AA40" s="20">
        <v>0.45985996635387355</v>
      </c>
    </row>
    <row r="41" spans="1:31" x14ac:dyDescent="0.3">
      <c r="A41" t="s">
        <v>34</v>
      </c>
      <c r="B41">
        <v>2022</v>
      </c>
      <c r="C41" t="s">
        <v>31</v>
      </c>
      <c r="D41" s="3">
        <v>166.47692307692307</v>
      </c>
      <c r="E41" s="21">
        <f t="shared" si="10"/>
        <v>-7.657389151267872E-3</v>
      </c>
      <c r="F41" s="3">
        <v>192.2</v>
      </c>
      <c r="G41" s="21">
        <f t="shared" si="11"/>
        <v>-1.039501039501128E-3</v>
      </c>
      <c r="H41" s="3">
        <v>166.36666666666667</v>
      </c>
      <c r="I41" s="21">
        <f t="shared" si="12"/>
        <v>9.9150141643060772E-3</v>
      </c>
      <c r="J41" s="3">
        <v>164.5</v>
      </c>
      <c r="K41" s="21">
        <f t="shared" si="13"/>
        <v>6.7319461444308093E-3</v>
      </c>
      <c r="L41" s="3">
        <v>171.4</v>
      </c>
      <c r="M41" s="21">
        <f t="shared" si="14"/>
        <v>4.6893317702228097E-3</v>
      </c>
      <c r="N41" s="3">
        <v>161.76666666666665</v>
      </c>
      <c r="O41" s="21">
        <f t="shared" si="15"/>
        <v>3.9304923458832793E-3</v>
      </c>
      <c r="P41" s="3">
        <v>164.7</v>
      </c>
      <c r="Q41" s="21">
        <f t="shared" si="16"/>
        <v>1.8248175182480715E-3</v>
      </c>
      <c r="R41" s="3">
        <v>162.69999999999999</v>
      </c>
      <c r="S41" s="21">
        <f t="shared" si="17"/>
        <v>4.3209876543209179E-3</v>
      </c>
      <c r="T41">
        <v>156.5</v>
      </c>
      <c r="U41" s="21">
        <f t="shared" si="18"/>
        <v>5.1380860629416276E-3</v>
      </c>
      <c r="V41">
        <v>164.2</v>
      </c>
      <c r="W41" s="21">
        <f t="shared" si="19"/>
        <v>6.0938452163311586E-4</v>
      </c>
      <c r="Z41" s="1" t="s">
        <v>118</v>
      </c>
      <c r="AA41" s="20">
        <v>0.59717292296379743</v>
      </c>
    </row>
    <row r="42" spans="1:31" x14ac:dyDescent="0.3">
      <c r="A42" t="s">
        <v>34</v>
      </c>
      <c r="B42">
        <v>2022</v>
      </c>
      <c r="C42" t="s">
        <v>35</v>
      </c>
      <c r="D42" s="3">
        <v>166.24615384615387</v>
      </c>
      <c r="E42" s="21">
        <f t="shared" si="10"/>
        <v>-1.386193512614164E-3</v>
      </c>
      <c r="F42" s="3">
        <v>192.8</v>
      </c>
      <c r="G42" s="21">
        <f t="shared" si="11"/>
        <v>3.1217481789803476E-3</v>
      </c>
      <c r="H42" s="3">
        <v>167.60000000000002</v>
      </c>
      <c r="I42" s="21">
        <f t="shared" si="12"/>
        <v>7.4133440192347133E-3</v>
      </c>
      <c r="J42" s="3">
        <v>165.5</v>
      </c>
      <c r="K42" s="21">
        <f t="shared" si="13"/>
        <v>6.0790273556231003E-3</v>
      </c>
      <c r="L42" s="3">
        <v>172.2</v>
      </c>
      <c r="M42" s="21">
        <f t="shared" si="14"/>
        <v>4.6674445740955833E-3</v>
      </c>
      <c r="N42" s="3">
        <v>162.76666666666665</v>
      </c>
      <c r="O42" s="21">
        <f t="shared" si="15"/>
        <v>6.1817432515969507E-3</v>
      </c>
      <c r="P42" s="3">
        <v>165.4</v>
      </c>
      <c r="Q42" s="21">
        <f t="shared" si="16"/>
        <v>4.2501517911355015E-3</v>
      </c>
      <c r="R42" s="3">
        <v>163.5</v>
      </c>
      <c r="S42" s="21">
        <f t="shared" si="17"/>
        <v>4.9170251997542186E-3</v>
      </c>
      <c r="T42">
        <v>156.9</v>
      </c>
      <c r="U42" s="21">
        <f t="shared" si="18"/>
        <v>2.5559105431310269E-3</v>
      </c>
      <c r="V42">
        <v>165.7</v>
      </c>
      <c r="W42" s="21">
        <f t="shared" si="19"/>
        <v>9.1352009744214372E-3</v>
      </c>
      <c r="Z42" s="1" t="s">
        <v>120</v>
      </c>
      <c r="AA42" s="20">
        <v>0.58985737022072149</v>
      </c>
    </row>
    <row r="43" spans="1:31" x14ac:dyDescent="0.3">
      <c r="A43" t="s">
        <v>34</v>
      </c>
      <c r="B43">
        <v>2022</v>
      </c>
      <c r="C43" t="s">
        <v>36</v>
      </c>
      <c r="D43" s="3">
        <v>168.01538461538465</v>
      </c>
      <c r="E43" s="21">
        <f t="shared" si="10"/>
        <v>1.0642235794928769E-2</v>
      </c>
      <c r="F43" s="3">
        <v>193.7</v>
      </c>
      <c r="G43" s="21">
        <f t="shared" si="11"/>
        <v>4.6680497925310023E-3</v>
      </c>
      <c r="H43" s="3">
        <v>169.26666666666665</v>
      </c>
      <c r="I43" s="21">
        <f t="shared" si="12"/>
        <v>9.9443118536195023E-3</v>
      </c>
      <c r="J43" s="3">
        <v>165.3</v>
      </c>
      <c r="K43" s="21">
        <f t="shared" si="13"/>
        <v>-1.2084592145014418E-3</v>
      </c>
      <c r="L43" s="3">
        <v>173</v>
      </c>
      <c r="M43" s="21">
        <f t="shared" si="14"/>
        <v>4.6457607433217848E-3</v>
      </c>
      <c r="N43" s="3">
        <v>164.43333333333334</v>
      </c>
      <c r="O43" s="21">
        <f t="shared" si="15"/>
        <v>1.0239606799099032E-2</v>
      </c>
      <c r="P43" s="3">
        <v>166</v>
      </c>
      <c r="Q43" s="21">
        <f t="shared" si="16"/>
        <v>3.6275695284159267E-3</v>
      </c>
      <c r="R43" s="3">
        <v>164.6</v>
      </c>
      <c r="S43" s="21">
        <f t="shared" si="17"/>
        <v>6.7278287461773351E-3</v>
      </c>
      <c r="T43">
        <v>157.9</v>
      </c>
      <c r="U43" s="21">
        <f t="shared" si="18"/>
        <v>6.3734862970044612E-3</v>
      </c>
      <c r="V43">
        <v>167.2</v>
      </c>
      <c r="W43" s="21">
        <f t="shared" si="19"/>
        <v>9.0525045262522634E-3</v>
      </c>
    </row>
    <row r="44" spans="1:31" x14ac:dyDescent="0.3">
      <c r="A44" t="s">
        <v>34</v>
      </c>
      <c r="B44">
        <v>2022</v>
      </c>
      <c r="C44" t="s">
        <v>37</v>
      </c>
      <c r="D44" s="3">
        <v>170.33076923076925</v>
      </c>
      <c r="E44" s="21">
        <f t="shared" si="10"/>
        <v>1.3780789305008615E-2</v>
      </c>
      <c r="F44" s="3">
        <v>193.9</v>
      </c>
      <c r="G44" s="21">
        <f t="shared" si="11"/>
        <v>1.0325245224574965E-3</v>
      </c>
      <c r="H44" s="3">
        <v>171.06666666666669</v>
      </c>
      <c r="I44" s="21">
        <f t="shared" si="12"/>
        <v>1.0634107916502796E-2</v>
      </c>
      <c r="J44" s="3">
        <v>167</v>
      </c>
      <c r="K44" s="21">
        <f t="shared" si="13"/>
        <v>1.0284331518451231E-2</v>
      </c>
      <c r="L44" s="3">
        <v>174</v>
      </c>
      <c r="M44" s="21">
        <f t="shared" si="14"/>
        <v>5.7803468208092483E-3</v>
      </c>
      <c r="N44" s="3">
        <v>165.73333333333332</v>
      </c>
      <c r="O44" s="21">
        <f t="shared" si="15"/>
        <v>7.9059395905127679E-3</v>
      </c>
      <c r="P44" s="3">
        <v>166.9</v>
      </c>
      <c r="Q44" s="21">
        <f t="shared" si="16"/>
        <v>5.4216867469879864E-3</v>
      </c>
      <c r="R44" s="3">
        <v>166.8</v>
      </c>
      <c r="S44" s="21">
        <f t="shared" si="17"/>
        <v>1.3365735115431453E-2</v>
      </c>
      <c r="T44">
        <v>162.6</v>
      </c>
      <c r="U44" s="21">
        <f t="shared" si="18"/>
        <v>2.9765674477517344E-2</v>
      </c>
      <c r="V44">
        <v>172.2</v>
      </c>
      <c r="W44" s="21">
        <f t="shared" si="19"/>
        <v>2.9904306220095697E-2</v>
      </c>
    </row>
    <row r="45" spans="1:31" x14ac:dyDescent="0.3">
      <c r="A45" t="s">
        <v>34</v>
      </c>
      <c r="B45">
        <v>2022</v>
      </c>
      <c r="C45" t="s">
        <v>38</v>
      </c>
      <c r="D45" s="3">
        <v>172.22307692307697</v>
      </c>
      <c r="E45" s="21">
        <f t="shared" si="10"/>
        <v>1.1109605744479256E-2</v>
      </c>
      <c r="F45" s="3">
        <v>194.1</v>
      </c>
      <c r="G45" s="21">
        <f t="shared" si="11"/>
        <v>1.0314595152139691E-3</v>
      </c>
      <c r="H45" s="3">
        <v>172.86666666666667</v>
      </c>
      <c r="I45" s="21">
        <f t="shared" si="12"/>
        <v>1.0522213561964045E-2</v>
      </c>
      <c r="J45" s="3">
        <v>167.5</v>
      </c>
      <c r="K45" s="21">
        <f t="shared" si="13"/>
        <v>2.9940119760479044E-3</v>
      </c>
      <c r="L45" s="3">
        <v>174.8</v>
      </c>
      <c r="M45" s="21">
        <f t="shared" si="14"/>
        <v>4.5977011494253523E-3</v>
      </c>
      <c r="N45" s="3">
        <v>166.23333333333332</v>
      </c>
      <c r="O45" s="21">
        <f t="shared" si="15"/>
        <v>3.0168946098149641E-3</v>
      </c>
      <c r="P45" s="3">
        <v>167.9</v>
      </c>
      <c r="Q45" s="21">
        <f t="shared" si="16"/>
        <v>5.9916117435590173E-3</v>
      </c>
      <c r="R45" s="3">
        <v>167.5</v>
      </c>
      <c r="S45" s="21">
        <f t="shared" si="17"/>
        <v>4.1966426858512504E-3</v>
      </c>
      <c r="T45">
        <v>163</v>
      </c>
      <c r="U45" s="21">
        <f t="shared" si="18"/>
        <v>2.4600246002460377E-3</v>
      </c>
      <c r="V45">
        <v>174.6</v>
      </c>
      <c r="W45" s="21">
        <f t="shared" si="19"/>
        <v>1.3937282229965191E-2</v>
      </c>
    </row>
    <row r="46" spans="1:31" x14ac:dyDescent="0.3">
      <c r="A46" t="s">
        <v>34</v>
      </c>
      <c r="B46">
        <v>2022</v>
      </c>
      <c r="C46" t="s">
        <v>39</v>
      </c>
      <c r="D46" s="3">
        <v>173.99230769230769</v>
      </c>
      <c r="E46" s="21">
        <f t="shared" si="10"/>
        <v>1.0272901871454425E-2</v>
      </c>
      <c r="F46" s="3">
        <v>194.3</v>
      </c>
      <c r="G46" s="21">
        <f t="shared" si="11"/>
        <v>1.0303967027306391E-3</v>
      </c>
      <c r="H46" s="3">
        <v>174.33333333333334</v>
      </c>
      <c r="I46" s="21">
        <f t="shared" si="12"/>
        <v>8.4843810258388077E-3</v>
      </c>
      <c r="J46" s="3">
        <v>166.8</v>
      </c>
      <c r="K46" s="21">
        <f t="shared" si="13"/>
        <v>-4.1791044776118723E-3</v>
      </c>
      <c r="L46" s="3">
        <v>175.4</v>
      </c>
      <c r="M46" s="21">
        <f t="shared" si="14"/>
        <v>3.4324942791761686E-3</v>
      </c>
      <c r="N46" s="3">
        <v>167.20000000000002</v>
      </c>
      <c r="O46" s="21">
        <f t="shared" si="15"/>
        <v>5.8151193102067202E-3</v>
      </c>
      <c r="P46" s="3">
        <v>169</v>
      </c>
      <c r="Q46" s="21">
        <f t="shared" si="16"/>
        <v>6.5515187611673272E-3</v>
      </c>
      <c r="R46" s="3">
        <v>167.5</v>
      </c>
      <c r="S46" s="21">
        <f t="shared" si="17"/>
        <v>0</v>
      </c>
      <c r="T46">
        <v>161.1</v>
      </c>
      <c r="U46" s="21">
        <f t="shared" si="18"/>
        <v>-1.1656441717791446E-2</v>
      </c>
      <c r="V46">
        <v>176</v>
      </c>
      <c r="W46" s="21">
        <f t="shared" si="19"/>
        <v>8.0183276059565042E-3</v>
      </c>
    </row>
    <row r="47" spans="1:31" x14ac:dyDescent="0.3">
      <c r="A47" t="s">
        <v>34</v>
      </c>
      <c r="B47">
        <v>2022</v>
      </c>
      <c r="C47" t="s">
        <v>40</v>
      </c>
      <c r="D47" s="3">
        <v>174.33076923076925</v>
      </c>
      <c r="E47" s="21">
        <f t="shared" si="10"/>
        <v>1.9452672531943328E-3</v>
      </c>
      <c r="F47" s="3">
        <v>194.6</v>
      </c>
      <c r="G47" s="21">
        <f t="shared" si="11"/>
        <v>1.5440041173442251E-3</v>
      </c>
      <c r="H47" s="3">
        <v>175.63333333333335</v>
      </c>
      <c r="I47" s="21">
        <f t="shared" si="12"/>
        <v>7.4569789674952848E-3</v>
      </c>
      <c r="J47" s="3">
        <v>167.8</v>
      </c>
      <c r="K47" s="21">
        <f t="shared" si="13"/>
        <v>5.9952038369304557E-3</v>
      </c>
      <c r="L47" s="3">
        <v>176.1</v>
      </c>
      <c r="M47" s="21">
        <f t="shared" si="14"/>
        <v>3.9908779931584299E-3</v>
      </c>
      <c r="N47" s="3">
        <v>167.8</v>
      </c>
      <c r="O47" s="21">
        <f t="shared" si="15"/>
        <v>3.5885167464114491E-3</v>
      </c>
      <c r="P47" s="3">
        <v>171.4</v>
      </c>
      <c r="Q47" s="21">
        <f t="shared" si="16"/>
        <v>1.4201183431952697E-2</v>
      </c>
      <c r="R47" s="3">
        <v>168.4</v>
      </c>
      <c r="S47" s="21">
        <f t="shared" si="17"/>
        <v>5.3731343283582433E-3</v>
      </c>
      <c r="T47">
        <v>161.6</v>
      </c>
      <c r="U47" s="21">
        <f t="shared" si="18"/>
        <v>3.1036623215394167E-3</v>
      </c>
      <c r="V47">
        <v>179.6</v>
      </c>
      <c r="W47" s="21">
        <f t="shared" si="19"/>
        <v>2.0454545454545423E-2</v>
      </c>
    </row>
    <row r="48" spans="1:31" x14ac:dyDescent="0.3">
      <c r="A48" t="s">
        <v>34</v>
      </c>
      <c r="B48">
        <v>2022</v>
      </c>
      <c r="C48" t="s">
        <v>41</v>
      </c>
      <c r="D48" s="3">
        <v>174.55384615384617</v>
      </c>
      <c r="E48" s="21">
        <f t="shared" si="10"/>
        <v>1.2796187618585007E-3</v>
      </c>
      <c r="F48" s="3">
        <v>195</v>
      </c>
      <c r="G48" s="21">
        <f t="shared" si="11"/>
        <v>2.0554984583761853E-3</v>
      </c>
      <c r="H48" s="3">
        <v>176.9</v>
      </c>
      <c r="I48" s="21">
        <f t="shared" si="12"/>
        <v>7.2119946858985656E-3</v>
      </c>
      <c r="J48" s="3">
        <v>169</v>
      </c>
      <c r="K48" s="21">
        <f t="shared" si="13"/>
        <v>7.1513706793801465E-3</v>
      </c>
      <c r="L48" s="3">
        <v>176.8</v>
      </c>
      <c r="M48" s="21">
        <f t="shared" si="14"/>
        <v>3.9750141964793699E-3</v>
      </c>
      <c r="N48" s="3">
        <v>168.86666666666665</v>
      </c>
      <c r="O48" s="21">
        <f t="shared" si="15"/>
        <v>6.3567739372266648E-3</v>
      </c>
      <c r="P48" s="3">
        <v>172.3</v>
      </c>
      <c r="Q48" s="21">
        <f t="shared" si="16"/>
        <v>5.2508751458576761E-3</v>
      </c>
      <c r="R48" s="3">
        <v>169.1</v>
      </c>
      <c r="S48" s="21">
        <f t="shared" si="17"/>
        <v>4.1567695961994573E-3</v>
      </c>
      <c r="T48">
        <v>161.9</v>
      </c>
      <c r="U48" s="21">
        <f t="shared" si="18"/>
        <v>1.8564356435644268E-3</v>
      </c>
      <c r="V48">
        <v>178.8</v>
      </c>
      <c r="W48" s="21">
        <f t="shared" si="19"/>
        <v>-4.4543429844097048E-3</v>
      </c>
    </row>
    <row r="49" spans="1:31" x14ac:dyDescent="0.3">
      <c r="A49" t="s">
        <v>34</v>
      </c>
      <c r="B49">
        <v>2022</v>
      </c>
      <c r="C49" t="s">
        <v>42</v>
      </c>
      <c r="D49" s="3">
        <v>175.45384615384617</v>
      </c>
      <c r="E49" s="21">
        <f t="shared" si="10"/>
        <v>5.1560021152829514E-3</v>
      </c>
      <c r="F49" s="3">
        <v>195.9</v>
      </c>
      <c r="G49" s="21">
        <f t="shared" si="11"/>
        <v>4.6153846153846444E-3</v>
      </c>
      <c r="H49" s="3">
        <v>178.36666666666667</v>
      </c>
      <c r="I49" s="21">
        <f t="shared" si="12"/>
        <v>8.2909364989636435E-3</v>
      </c>
      <c r="J49" s="3">
        <v>169.5</v>
      </c>
      <c r="K49" s="21">
        <f t="shared" si="13"/>
        <v>2.9585798816568047E-3</v>
      </c>
      <c r="L49" s="3">
        <v>177.8</v>
      </c>
      <c r="M49" s="21">
        <f t="shared" si="14"/>
        <v>5.6561085972850677E-3</v>
      </c>
      <c r="N49" s="3">
        <v>169.33333333333334</v>
      </c>
      <c r="O49" s="21">
        <f t="shared" si="15"/>
        <v>2.7635215159891257E-3</v>
      </c>
      <c r="P49" s="3">
        <v>173.1</v>
      </c>
      <c r="Q49" s="21">
        <f t="shared" si="16"/>
        <v>4.6430644225187636E-3</v>
      </c>
      <c r="R49" s="3">
        <v>169.7</v>
      </c>
      <c r="S49" s="21">
        <f t="shared" si="17"/>
        <v>3.548196333530422E-3</v>
      </c>
      <c r="T49">
        <v>162.30000000000001</v>
      </c>
      <c r="U49" s="21">
        <f t="shared" si="18"/>
        <v>2.470660901791264E-3</v>
      </c>
      <c r="V49">
        <v>179.5</v>
      </c>
      <c r="W49" s="21">
        <f t="shared" si="19"/>
        <v>3.9149888143176093E-3</v>
      </c>
    </row>
    <row r="50" spans="1:31" x14ac:dyDescent="0.3">
      <c r="A50" t="s">
        <v>34</v>
      </c>
      <c r="B50">
        <v>2022</v>
      </c>
      <c r="C50" t="s">
        <v>43</v>
      </c>
      <c r="D50" s="3">
        <v>176.71538461538464</v>
      </c>
      <c r="E50" s="21">
        <f t="shared" si="10"/>
        <v>7.1901442413082701E-3</v>
      </c>
      <c r="F50" s="3">
        <v>196.3</v>
      </c>
      <c r="G50" s="21">
        <f t="shared" si="11"/>
        <v>2.0418580908627142E-3</v>
      </c>
      <c r="H50" s="3">
        <v>179.4</v>
      </c>
      <c r="I50" s="21">
        <f t="shared" si="12"/>
        <v>5.793309661745457E-3</v>
      </c>
      <c r="J50" s="3">
        <v>171.2</v>
      </c>
      <c r="K50" s="21">
        <f t="shared" si="13"/>
        <v>1.0029498525073679E-2</v>
      </c>
      <c r="L50" s="3">
        <v>178.7</v>
      </c>
      <c r="M50" s="21">
        <f t="shared" si="14"/>
        <v>5.0618672665915477E-3</v>
      </c>
      <c r="N50" s="3">
        <v>170.23333333333335</v>
      </c>
      <c r="O50" s="21">
        <f t="shared" si="15"/>
        <v>5.3149606299212927E-3</v>
      </c>
      <c r="P50" s="3">
        <v>173.4</v>
      </c>
      <c r="Q50" s="21">
        <f t="shared" si="16"/>
        <v>1.7331022530329948E-3</v>
      </c>
      <c r="R50" s="3">
        <v>170.5</v>
      </c>
      <c r="S50" s="21">
        <f t="shared" si="17"/>
        <v>4.7142015321155655E-3</v>
      </c>
      <c r="T50">
        <v>162.9</v>
      </c>
      <c r="U50" s="21">
        <f t="shared" si="18"/>
        <v>3.6968576709796321E-3</v>
      </c>
      <c r="V50">
        <v>180.5</v>
      </c>
      <c r="W50" s="21">
        <f t="shared" si="19"/>
        <v>5.5710306406685237E-3</v>
      </c>
    </row>
    <row r="51" spans="1:31" x14ac:dyDescent="0.3">
      <c r="A51" t="s">
        <v>34</v>
      </c>
      <c r="B51">
        <v>2022</v>
      </c>
      <c r="C51" t="s">
        <v>45</v>
      </c>
      <c r="D51" s="3">
        <v>176.67692307692309</v>
      </c>
      <c r="E51" s="21">
        <f t="shared" si="10"/>
        <v>-2.176468027685168E-4</v>
      </c>
      <c r="F51" s="3">
        <v>196.9</v>
      </c>
      <c r="G51" s="21">
        <f t="shared" si="11"/>
        <v>3.0565461029036897E-3</v>
      </c>
      <c r="H51" s="3">
        <v>180.46666666666667</v>
      </c>
      <c r="I51" s="21">
        <f t="shared" si="12"/>
        <v>5.9457450761798373E-3</v>
      </c>
      <c r="J51" s="3">
        <v>171.8</v>
      </c>
      <c r="K51" s="21">
        <f t="shared" si="13"/>
        <v>3.5046728971963948E-3</v>
      </c>
      <c r="L51" s="3">
        <v>179.8</v>
      </c>
      <c r="M51" s="21">
        <f t="shared" si="14"/>
        <v>6.1555679910465745E-3</v>
      </c>
      <c r="N51" s="3">
        <v>171.16666666666666</v>
      </c>
      <c r="O51" s="21">
        <f t="shared" si="15"/>
        <v>5.4826708439395452E-3</v>
      </c>
      <c r="P51" s="3">
        <v>173.7</v>
      </c>
      <c r="Q51" s="21">
        <f t="shared" si="16"/>
        <v>1.7301038062282753E-3</v>
      </c>
      <c r="R51" s="3">
        <v>171.1</v>
      </c>
      <c r="S51" s="21">
        <f t="shared" si="17"/>
        <v>3.5190615835776792E-3</v>
      </c>
      <c r="T51">
        <v>163</v>
      </c>
      <c r="U51" s="21">
        <f t="shared" si="18"/>
        <v>6.1387354205030267E-4</v>
      </c>
      <c r="V51">
        <v>181.3</v>
      </c>
      <c r="W51" s="21">
        <f t="shared" si="19"/>
        <v>4.4321329639889825E-3</v>
      </c>
    </row>
    <row r="52" spans="1:31" x14ac:dyDescent="0.3">
      <c r="A52" t="s">
        <v>34</v>
      </c>
      <c r="B52">
        <v>2022</v>
      </c>
      <c r="C52" t="s">
        <v>46</v>
      </c>
      <c r="D52" s="3">
        <v>175.64615384615385</v>
      </c>
      <c r="E52" s="21">
        <f t="shared" si="10"/>
        <v>-5.8342041100662182E-3</v>
      </c>
      <c r="F52" s="3">
        <v>197.3</v>
      </c>
      <c r="G52" s="21">
        <f t="shared" si="11"/>
        <v>2.031488065007647E-3</v>
      </c>
      <c r="H52" s="3">
        <v>181.33333333333334</v>
      </c>
      <c r="I52" s="21">
        <f t="shared" si="12"/>
        <v>4.802364240857079E-3</v>
      </c>
      <c r="J52" s="3">
        <v>170.7</v>
      </c>
      <c r="K52" s="21">
        <f t="shared" si="13"/>
        <v>-6.4027939464494921E-3</v>
      </c>
      <c r="L52" s="3">
        <v>181.1</v>
      </c>
      <c r="M52" s="21">
        <f t="shared" si="14"/>
        <v>7.2302558398219295E-3</v>
      </c>
      <c r="N52" s="3">
        <v>172.26666666666665</v>
      </c>
      <c r="O52" s="21">
        <f t="shared" si="15"/>
        <v>6.4264849074975325E-3</v>
      </c>
      <c r="P52" s="3">
        <v>174.1</v>
      </c>
      <c r="Q52" s="21">
        <f t="shared" si="16"/>
        <v>2.3028209556707293E-3</v>
      </c>
      <c r="R52" s="3">
        <v>172</v>
      </c>
      <c r="S52" s="21">
        <f t="shared" si="17"/>
        <v>5.2600818234950653E-3</v>
      </c>
      <c r="T52">
        <v>163.4</v>
      </c>
      <c r="U52" s="21">
        <f t="shared" si="18"/>
        <v>2.4539877300613845E-3</v>
      </c>
      <c r="V52">
        <v>182</v>
      </c>
      <c r="W52" s="21">
        <f t="shared" si="19"/>
        <v>3.8610038610037982E-3</v>
      </c>
    </row>
    <row r="53" spans="1:31" x14ac:dyDescent="0.3">
      <c r="A53" t="s">
        <v>34</v>
      </c>
      <c r="B53">
        <v>2023</v>
      </c>
      <c r="C53" t="s">
        <v>31</v>
      </c>
      <c r="D53" s="3">
        <v>176.36153846153846</v>
      </c>
      <c r="E53" s="21">
        <f t="shared" si="10"/>
        <v>4.0728737847069707E-3</v>
      </c>
      <c r="F53" s="3">
        <v>198.2</v>
      </c>
      <c r="G53" s="21">
        <f t="shared" si="11"/>
        <v>4.5615813482005937E-3</v>
      </c>
      <c r="H53" s="3">
        <v>182.1</v>
      </c>
      <c r="I53" s="21">
        <f t="shared" si="12"/>
        <v>4.2279411764705047E-3</v>
      </c>
      <c r="J53" s="3">
        <v>172.1</v>
      </c>
      <c r="K53" s="21">
        <f t="shared" si="13"/>
        <v>8.201523140011751E-3</v>
      </c>
      <c r="L53" s="3">
        <v>182.3</v>
      </c>
      <c r="M53" s="21">
        <f t="shared" si="14"/>
        <v>6.6261733848703317E-3</v>
      </c>
      <c r="N53" s="3">
        <v>173.66666666666666</v>
      </c>
      <c r="O53" s="21">
        <f t="shared" si="15"/>
        <v>8.126934984520157E-3</v>
      </c>
      <c r="P53" s="3">
        <v>174.3</v>
      </c>
      <c r="Q53" s="21">
        <f t="shared" si="16"/>
        <v>1.1487650775417408E-3</v>
      </c>
      <c r="R53" s="3">
        <v>172.8</v>
      </c>
      <c r="S53" s="21">
        <f t="shared" si="17"/>
        <v>4.6511627906977403E-3</v>
      </c>
      <c r="T53">
        <v>163.6</v>
      </c>
      <c r="U53" s="21">
        <f t="shared" si="18"/>
        <v>1.2239902080782657E-3</v>
      </c>
      <c r="V53">
        <v>182</v>
      </c>
      <c r="W53" s="21">
        <f t="shared" si="19"/>
        <v>0</v>
      </c>
    </row>
    <row r="54" spans="1:31" x14ac:dyDescent="0.3">
      <c r="A54" t="s">
        <v>34</v>
      </c>
      <c r="B54">
        <v>2023</v>
      </c>
      <c r="C54" t="s">
        <v>35</v>
      </c>
      <c r="D54" s="3">
        <v>175.3153846153846</v>
      </c>
      <c r="E54" s="21">
        <f t="shared" si="10"/>
        <v>-5.9318707201117182E-3</v>
      </c>
      <c r="F54" s="3">
        <v>199.5</v>
      </c>
      <c r="G54" s="21">
        <f t="shared" si="11"/>
        <v>6.5590312815338621E-3</v>
      </c>
      <c r="H54" s="3">
        <v>183.33333333333334</v>
      </c>
      <c r="I54" s="21">
        <f t="shared" si="12"/>
        <v>6.7728354384038909E-3</v>
      </c>
      <c r="J54" s="3">
        <v>173.5</v>
      </c>
      <c r="K54" s="21">
        <f t="shared" si="13"/>
        <v>8.1348053457292614E-3</v>
      </c>
      <c r="L54" s="3">
        <v>184.4</v>
      </c>
      <c r="M54" s="21">
        <f t="shared" si="14"/>
        <v>1.1519473395501889E-2</v>
      </c>
      <c r="N54" s="3">
        <v>175.16666666666666</v>
      </c>
      <c r="O54" s="21">
        <f t="shared" si="15"/>
        <v>8.6372360844529754E-3</v>
      </c>
      <c r="P54" s="3">
        <v>175</v>
      </c>
      <c r="Q54" s="21">
        <f t="shared" si="16"/>
        <v>4.016064257028047E-3</v>
      </c>
      <c r="R54" s="3">
        <v>174.1</v>
      </c>
      <c r="S54" s="21">
        <f t="shared" si="17"/>
        <v>7.5231481481480489E-3</v>
      </c>
      <c r="T54">
        <v>164.2</v>
      </c>
      <c r="U54" s="21">
        <f t="shared" si="18"/>
        <v>3.6674816625916523E-3</v>
      </c>
      <c r="V54">
        <v>182.1</v>
      </c>
      <c r="W54" s="21">
        <f t="shared" si="19"/>
        <v>5.4945054945051823E-4</v>
      </c>
    </row>
    <row r="55" spans="1:31" x14ac:dyDescent="0.3">
      <c r="A55" t="s">
        <v>34</v>
      </c>
      <c r="B55">
        <v>2023</v>
      </c>
      <c r="C55" t="s">
        <v>36</v>
      </c>
      <c r="D55" s="3">
        <v>175.32307692307691</v>
      </c>
      <c r="E55" s="21">
        <f t="shared" si="10"/>
        <v>4.3876968978992914E-5</v>
      </c>
      <c r="F55" s="3">
        <v>199.5</v>
      </c>
      <c r="G55" s="21">
        <f t="shared" si="11"/>
        <v>0</v>
      </c>
      <c r="H55" s="3">
        <v>183.29999999999998</v>
      </c>
      <c r="I55" s="21">
        <f t="shared" si="12"/>
        <v>-1.8181818181832649E-4</v>
      </c>
      <c r="J55" s="3">
        <v>173.5</v>
      </c>
      <c r="K55" s="21">
        <f t="shared" si="13"/>
        <v>0</v>
      </c>
      <c r="L55" s="3">
        <v>184.4</v>
      </c>
      <c r="M55" s="21">
        <f t="shared" si="14"/>
        <v>0</v>
      </c>
      <c r="N55" s="3">
        <v>175.16666666666666</v>
      </c>
      <c r="O55" s="21">
        <f t="shared" si="15"/>
        <v>0</v>
      </c>
      <c r="P55" s="3">
        <v>175</v>
      </c>
      <c r="Q55" s="21">
        <f t="shared" si="16"/>
        <v>0</v>
      </c>
      <c r="R55" s="3">
        <v>174.1</v>
      </c>
      <c r="S55" s="21">
        <f t="shared" si="17"/>
        <v>0</v>
      </c>
      <c r="T55">
        <v>164.2</v>
      </c>
      <c r="U55" s="21">
        <f t="shared" si="18"/>
        <v>0</v>
      </c>
      <c r="V55">
        <v>181.9</v>
      </c>
      <c r="W55" s="21">
        <f t="shared" si="19"/>
        <v>-1.0982976386600144E-3</v>
      </c>
    </row>
    <row r="56" spans="1:31" x14ac:dyDescent="0.3">
      <c r="A56" t="s">
        <v>34</v>
      </c>
      <c r="B56">
        <v>2023</v>
      </c>
      <c r="C56" t="s">
        <v>37</v>
      </c>
      <c r="D56" s="3">
        <v>176.12307692307695</v>
      </c>
      <c r="E56" s="21">
        <f t="shared" si="10"/>
        <v>4.5630045630047902E-3</v>
      </c>
      <c r="F56" s="3">
        <v>200.6</v>
      </c>
      <c r="G56" s="21">
        <f t="shared" si="11"/>
        <v>5.5137844611528536E-3</v>
      </c>
      <c r="H56" s="3">
        <v>183.93333333333331</v>
      </c>
      <c r="I56" s="21">
        <f t="shared" si="12"/>
        <v>3.4551736679395845E-3</v>
      </c>
      <c r="J56" s="3">
        <v>175.2</v>
      </c>
      <c r="K56" s="21">
        <f t="shared" si="13"/>
        <v>9.7982708933716921E-3</v>
      </c>
      <c r="L56" s="3">
        <v>185</v>
      </c>
      <c r="M56" s="21">
        <f t="shared" si="14"/>
        <v>3.2537960954446546E-3</v>
      </c>
      <c r="N56" s="3">
        <v>176.43333333333331</v>
      </c>
      <c r="O56" s="21">
        <f t="shared" si="15"/>
        <v>7.2312083729780298E-3</v>
      </c>
      <c r="P56" s="3">
        <v>176.4</v>
      </c>
      <c r="Q56" s="21">
        <f t="shared" si="16"/>
        <v>8.0000000000000331E-3</v>
      </c>
      <c r="R56" s="3">
        <v>175</v>
      </c>
      <c r="S56" s="21">
        <f t="shared" si="17"/>
        <v>5.1694428489374254E-3</v>
      </c>
      <c r="T56">
        <v>164.5</v>
      </c>
      <c r="U56" s="21">
        <f t="shared" si="18"/>
        <v>1.8270401948843567E-3</v>
      </c>
      <c r="V56">
        <v>181.7</v>
      </c>
      <c r="W56" s="21">
        <f t="shared" si="19"/>
        <v>-1.0995052226499013E-3</v>
      </c>
    </row>
    <row r="57" spans="1:31" x14ac:dyDescent="0.3">
      <c r="A57" t="s">
        <v>34</v>
      </c>
      <c r="B57">
        <v>2023</v>
      </c>
      <c r="C57" t="s">
        <v>38</v>
      </c>
      <c r="D57" s="3">
        <v>177.45384615384617</v>
      </c>
      <c r="E57" s="21">
        <f t="shared" si="10"/>
        <v>7.555904961565281E-3</v>
      </c>
      <c r="F57" s="3">
        <v>201</v>
      </c>
      <c r="G57" s="21">
        <f t="shared" si="11"/>
        <v>1.9940179461615439E-3</v>
      </c>
      <c r="H57" s="3">
        <v>184.4</v>
      </c>
      <c r="I57" s="21">
        <f t="shared" si="12"/>
        <v>2.5371511417181789E-3</v>
      </c>
      <c r="J57" s="3">
        <v>175.6</v>
      </c>
      <c r="K57" s="21">
        <f t="shared" si="13"/>
        <v>2.2831050228310826E-3</v>
      </c>
      <c r="L57" s="3">
        <v>185.7</v>
      </c>
      <c r="M57" s="21">
        <f t="shared" si="14"/>
        <v>3.7837837837837222E-3</v>
      </c>
      <c r="N57" s="3">
        <v>177.19999999999996</v>
      </c>
      <c r="O57" s="21">
        <f t="shared" si="15"/>
        <v>4.3453617986018416E-3</v>
      </c>
      <c r="P57" s="3">
        <v>177.1</v>
      </c>
      <c r="Q57" s="21">
        <f t="shared" si="16"/>
        <v>3.9682539682539038E-3</v>
      </c>
      <c r="R57" s="3">
        <v>175.7</v>
      </c>
      <c r="S57" s="21">
        <f t="shared" si="17"/>
        <v>3.999999999999935E-3</v>
      </c>
      <c r="T57">
        <v>164.8</v>
      </c>
      <c r="U57" s="21">
        <f t="shared" si="18"/>
        <v>1.8237082066869992E-3</v>
      </c>
      <c r="V57">
        <v>182.8</v>
      </c>
      <c r="W57" s="21">
        <f t="shared" si="19"/>
        <v>6.0539350577876877E-3</v>
      </c>
    </row>
    <row r="58" spans="1:31" x14ac:dyDescent="0.3">
      <c r="E58" s="42">
        <f>CORREL(E35:E57,$W$35:$W$57)</f>
        <v>0.44707259916713316</v>
      </c>
      <c r="G58" s="42">
        <f>CORREL(G35:G57,$W$35:$W$57)</f>
        <v>-2.0877259845417707E-2</v>
      </c>
      <c r="I58" s="42">
        <f>CORREL(I35:I57,$W$35:$W$57)</f>
        <v>0.49076567821336964</v>
      </c>
      <c r="K58" s="42">
        <f>CORREL(K35:K57,$W$35:$W$57)</f>
        <v>0.17406876644647432</v>
      </c>
      <c r="M58" s="42">
        <f>CORREL(M35:M57,$W$35:$W$57)</f>
        <v>0.13420269425139825</v>
      </c>
      <c r="O58" s="42">
        <f>CORREL(O35:O57,$W$35:$W$57)</f>
        <v>0.14487674321788852</v>
      </c>
      <c r="Q58" s="42">
        <f>CORREL(Q35:Q57,$W$35:$W$57)</f>
        <v>0.45985996635387355</v>
      </c>
      <c r="S58" s="42">
        <f>CORREL(S35:S57,$W$35:$W$57)</f>
        <v>0.59717292296379743</v>
      </c>
      <c r="U58" s="42">
        <f>CORREL(U35:U57,$W$35:$W$57)</f>
        <v>0.58985737022072149</v>
      </c>
    </row>
    <row r="61" spans="1:31" x14ac:dyDescent="0.3">
      <c r="A61" t="s">
        <v>0</v>
      </c>
      <c r="B61" t="s">
        <v>1</v>
      </c>
      <c r="C61" t="s">
        <v>2</v>
      </c>
      <c r="D61" s="1" t="s">
        <v>49</v>
      </c>
      <c r="E61" s="1" t="s">
        <v>112</v>
      </c>
      <c r="F61" s="1" t="s">
        <v>56</v>
      </c>
      <c r="G61" s="1" t="s">
        <v>113</v>
      </c>
      <c r="H61" s="1" t="s">
        <v>51</v>
      </c>
      <c r="I61" s="1" t="s">
        <v>114</v>
      </c>
      <c r="J61" s="1" t="s">
        <v>55</v>
      </c>
      <c r="K61" s="1" t="s">
        <v>115</v>
      </c>
      <c r="L61" s="1" t="s">
        <v>54</v>
      </c>
      <c r="M61" s="1" t="s">
        <v>116</v>
      </c>
      <c r="N61" s="1" t="s">
        <v>122</v>
      </c>
      <c r="O61" s="1" t="s">
        <v>117</v>
      </c>
      <c r="P61" s="1" t="s">
        <v>53</v>
      </c>
      <c r="Q61" s="1" t="s">
        <v>121</v>
      </c>
      <c r="R61" s="1" t="s">
        <v>28</v>
      </c>
      <c r="S61" s="1" t="s">
        <v>118</v>
      </c>
      <c r="T61" t="s">
        <v>24</v>
      </c>
      <c r="U61" s="1" t="s">
        <v>120</v>
      </c>
      <c r="V61" t="s">
        <v>21</v>
      </c>
      <c r="W61" s="1" t="s">
        <v>119</v>
      </c>
      <c r="Z61" s="1" t="s">
        <v>123</v>
      </c>
      <c r="AA61" s="1" t="s">
        <v>124</v>
      </c>
    </row>
    <row r="62" spans="1:31" x14ac:dyDescent="0.3">
      <c r="A62" t="s">
        <v>33</v>
      </c>
      <c r="B62">
        <v>2021</v>
      </c>
      <c r="C62" t="s">
        <v>39</v>
      </c>
      <c r="D62" s="3">
        <v>165.7076923076923</v>
      </c>
      <c r="E62" s="43"/>
      <c r="F62" s="3">
        <v>195.6</v>
      </c>
      <c r="G62" s="43"/>
      <c r="H62" s="3">
        <v>150.86666666666667</v>
      </c>
      <c r="I62" s="43"/>
      <c r="J62" s="3">
        <v>160.5</v>
      </c>
      <c r="K62" s="43"/>
      <c r="L62" s="3">
        <v>160.80000000000001</v>
      </c>
      <c r="M62" s="43"/>
      <c r="N62" s="6">
        <v>152.83333333333334</v>
      </c>
      <c r="P62" s="3">
        <v>158.1</v>
      </c>
      <c r="Q62" s="43"/>
      <c r="R62" s="3">
        <v>153.4</v>
      </c>
      <c r="S62" s="43"/>
      <c r="T62">
        <v>147.5</v>
      </c>
      <c r="V62">
        <v>156.1</v>
      </c>
      <c r="Z62" s="1" t="s">
        <v>112</v>
      </c>
      <c r="AA62" s="20">
        <v>0.3018631234796807</v>
      </c>
      <c r="AC62" s="50" t="s">
        <v>128</v>
      </c>
      <c r="AD62" s="50"/>
      <c r="AE62" s="50"/>
    </row>
    <row r="63" spans="1:31" x14ac:dyDescent="0.3">
      <c r="A63" t="s">
        <v>33</v>
      </c>
      <c r="B63">
        <v>2021</v>
      </c>
      <c r="C63" t="s">
        <v>40</v>
      </c>
      <c r="D63" s="3">
        <v>167.06153846153848</v>
      </c>
      <c r="E63" s="21">
        <f>(D63-D62)/D62</f>
        <v>8.1700863429580856E-3</v>
      </c>
      <c r="F63" s="3">
        <v>195.5</v>
      </c>
      <c r="G63" s="21">
        <f>(F63-F62)/F62</f>
        <v>-5.1124744376275218E-4</v>
      </c>
      <c r="H63" s="3">
        <v>151.76666666666668</v>
      </c>
      <c r="I63" s="21">
        <f>(H63-H62)/H62</f>
        <v>5.9655324790102012E-3</v>
      </c>
      <c r="J63" s="3">
        <v>161.5</v>
      </c>
      <c r="K63" s="21">
        <f>(J63-J62)/J62</f>
        <v>6.2305295950155761E-3</v>
      </c>
      <c r="L63" s="3">
        <v>161.5</v>
      </c>
      <c r="M63" s="21">
        <f>(L63-L62)/L62</f>
        <v>4.3532338308457002E-3</v>
      </c>
      <c r="N63" s="6">
        <v>153.83333333333334</v>
      </c>
      <c r="O63" s="21">
        <f>(N63-N62)/N62</f>
        <v>6.5430752453653216E-3</v>
      </c>
      <c r="P63" s="3">
        <v>160.30000000000001</v>
      </c>
      <c r="Q63" s="21">
        <f>(P63-P62)/P62</f>
        <v>1.3915243516761652E-2</v>
      </c>
      <c r="R63" s="3">
        <v>155</v>
      </c>
      <c r="S63" s="21">
        <f>(R63-R62)/R62</f>
        <v>1.0430247718383275E-2</v>
      </c>
      <c r="T63">
        <v>149.5</v>
      </c>
      <c r="U63" s="21">
        <f>(T63-T62)/T62</f>
        <v>1.3559322033898305E-2</v>
      </c>
      <c r="V63">
        <v>157.69999999999999</v>
      </c>
      <c r="W63" s="21">
        <f>(V63-V62)/V62</f>
        <v>1.0249839846252367E-2</v>
      </c>
      <c r="Z63" s="1" t="s">
        <v>113</v>
      </c>
      <c r="AA63" s="20">
        <v>3.9205783548985615E-2</v>
      </c>
      <c r="AC63" s="50"/>
      <c r="AD63" s="50"/>
      <c r="AE63" s="50"/>
    </row>
    <row r="64" spans="1:31" x14ac:dyDescent="0.3">
      <c r="A64" t="s">
        <v>33</v>
      </c>
      <c r="B64">
        <v>2021</v>
      </c>
      <c r="C64" t="s">
        <v>41</v>
      </c>
      <c r="D64" s="3">
        <v>165.99230769230769</v>
      </c>
      <c r="E64" s="21">
        <f t="shared" ref="E64:E85" si="20">(D64-D63)/D63</f>
        <v>-6.4002210148265048E-3</v>
      </c>
      <c r="F64" s="3">
        <v>196.5</v>
      </c>
      <c r="G64" s="21">
        <f t="shared" ref="G64:G85" si="21">(F64-F63)/F63</f>
        <v>5.1150895140664966E-3</v>
      </c>
      <c r="H64" s="3">
        <v>153.56666666666666</v>
      </c>
      <c r="I64" s="21">
        <f t="shared" ref="I64:I85" si="22">(H64-H63)/H63</f>
        <v>1.186031188227531E-2</v>
      </c>
      <c r="J64" s="3">
        <v>162.1</v>
      </c>
      <c r="K64" s="21">
        <f t="shared" ref="K64:K85" si="23">(J64-J63)/J63</f>
        <v>3.7151702786377356E-3</v>
      </c>
      <c r="L64" s="3">
        <v>162.80000000000001</v>
      </c>
      <c r="M64" s="21">
        <f t="shared" ref="M64:M85" si="24">(L64-L63)/L63</f>
        <v>8.049535603715241E-3</v>
      </c>
      <c r="N64" s="6">
        <v>155.5</v>
      </c>
      <c r="O64" s="21">
        <f t="shared" ref="O64:O85" si="25">(N64-N63)/N63</f>
        <v>1.08342361863488E-2</v>
      </c>
      <c r="P64" s="3">
        <v>160.4</v>
      </c>
      <c r="Q64" s="21">
        <f t="shared" ref="Q64:Q85" si="26">(P64-P63)/P63</f>
        <v>6.238303181534268E-4</v>
      </c>
      <c r="R64" s="3">
        <v>156</v>
      </c>
      <c r="S64" s="21">
        <f t="shared" ref="S64:S85" si="27">(R64-R63)/R63</f>
        <v>6.4516129032258064E-3</v>
      </c>
      <c r="T64">
        <v>150.4</v>
      </c>
      <c r="U64" s="21">
        <f t="shared" ref="U64:U85" si="28">(T64-T63)/T63</f>
        <v>6.020066889632145E-3</v>
      </c>
      <c r="V64">
        <v>160.69999999999999</v>
      </c>
      <c r="W64" s="21">
        <f t="shared" ref="W64:W85" si="29">(V64-V63)/V63</f>
        <v>1.9023462270133167E-2</v>
      </c>
      <c r="Z64" s="1" t="s">
        <v>114</v>
      </c>
      <c r="AA64" s="20">
        <v>0.43738890125463314</v>
      </c>
      <c r="AC64" s="50"/>
      <c r="AD64" s="50"/>
      <c r="AE64" s="50"/>
    </row>
    <row r="65" spans="1:31" x14ac:dyDescent="0.3">
      <c r="A65" t="s">
        <v>33</v>
      </c>
      <c r="B65">
        <v>2021</v>
      </c>
      <c r="C65" t="s">
        <v>42</v>
      </c>
      <c r="D65" s="3">
        <v>165.99230769230769</v>
      </c>
      <c r="E65" s="21">
        <f t="shared" si="20"/>
        <v>0</v>
      </c>
      <c r="F65" s="3">
        <v>196.5</v>
      </c>
      <c r="G65" s="21">
        <f t="shared" si="21"/>
        <v>0</v>
      </c>
      <c r="H65" s="3">
        <v>153.6</v>
      </c>
      <c r="I65" s="21">
        <f t="shared" si="22"/>
        <v>2.1706099413934082E-4</v>
      </c>
      <c r="J65" s="3">
        <v>162.1</v>
      </c>
      <c r="K65" s="21">
        <f t="shared" si="23"/>
        <v>0</v>
      </c>
      <c r="L65" s="3">
        <v>162.80000000000001</v>
      </c>
      <c r="M65" s="21">
        <f t="shared" si="24"/>
        <v>0</v>
      </c>
      <c r="N65" s="6">
        <v>155.60000000000002</v>
      </c>
      <c r="O65" s="21">
        <f t="shared" si="25"/>
        <v>6.4308681672040351E-4</v>
      </c>
      <c r="P65" s="3">
        <v>160.30000000000001</v>
      </c>
      <c r="Q65" s="21">
        <f t="shared" si="26"/>
        <v>-6.2344139650869271E-4</v>
      </c>
      <c r="R65" s="3">
        <v>156</v>
      </c>
      <c r="S65" s="21">
        <f t="shared" si="27"/>
        <v>0</v>
      </c>
      <c r="T65">
        <v>150.5</v>
      </c>
      <c r="U65" s="21">
        <f t="shared" si="28"/>
        <v>6.6489361702123874E-4</v>
      </c>
      <c r="V65">
        <v>160.80000000000001</v>
      </c>
      <c r="W65" s="21">
        <f t="shared" si="29"/>
        <v>6.2227753578109979E-4</v>
      </c>
      <c r="Z65" s="1" t="s">
        <v>115</v>
      </c>
      <c r="AA65" s="20">
        <v>0.22294741936600401</v>
      </c>
      <c r="AC65" s="50"/>
      <c r="AD65" s="50"/>
      <c r="AE65" s="50"/>
    </row>
    <row r="66" spans="1:31" x14ac:dyDescent="0.3">
      <c r="A66" t="s">
        <v>33</v>
      </c>
      <c r="B66">
        <v>2021</v>
      </c>
      <c r="C66" t="s">
        <v>43</v>
      </c>
      <c r="D66" s="3">
        <v>169.10769230769236</v>
      </c>
      <c r="E66" s="21">
        <f t="shared" si="20"/>
        <v>1.8768246906715191E-2</v>
      </c>
      <c r="F66" s="3">
        <v>197</v>
      </c>
      <c r="G66" s="21">
        <f t="shared" si="21"/>
        <v>2.5445292620865142E-3</v>
      </c>
      <c r="H66" s="3">
        <v>154.50000000000003</v>
      </c>
      <c r="I66" s="21">
        <f t="shared" si="22"/>
        <v>5.859375000000222E-3</v>
      </c>
      <c r="J66" s="3">
        <v>163.6</v>
      </c>
      <c r="K66" s="21">
        <f t="shared" si="23"/>
        <v>9.2535471930906849E-3</v>
      </c>
      <c r="L66" s="3">
        <v>163.5</v>
      </c>
      <c r="M66" s="21">
        <f t="shared" si="24"/>
        <v>4.2997542997542295E-3</v>
      </c>
      <c r="N66" s="6">
        <v>156.56666666666666</v>
      </c>
      <c r="O66" s="21">
        <f t="shared" si="25"/>
        <v>6.2125107112251925E-3</v>
      </c>
      <c r="P66" s="3">
        <v>160.30000000000001</v>
      </c>
      <c r="Q66" s="21">
        <f t="shared" si="26"/>
        <v>0</v>
      </c>
      <c r="R66" s="3">
        <v>157</v>
      </c>
      <c r="S66" s="21">
        <f t="shared" si="27"/>
        <v>6.41025641025641E-3</v>
      </c>
      <c r="T66">
        <v>152.19999999999999</v>
      </c>
      <c r="U66" s="21">
        <f t="shared" si="28"/>
        <v>1.1295681063122847E-2</v>
      </c>
      <c r="V66">
        <v>162.19999999999999</v>
      </c>
      <c r="W66" s="21">
        <f t="shared" si="29"/>
        <v>8.7064676616914003E-3</v>
      </c>
      <c r="Z66" s="1" t="s">
        <v>116</v>
      </c>
      <c r="AA66" s="20">
        <v>0.21828470854592608</v>
      </c>
    </row>
    <row r="67" spans="1:31" x14ac:dyDescent="0.3">
      <c r="A67" t="s">
        <v>33</v>
      </c>
      <c r="B67">
        <v>2021</v>
      </c>
      <c r="C67" t="s">
        <v>45</v>
      </c>
      <c r="D67" s="3">
        <v>170.60769230769228</v>
      </c>
      <c r="E67" s="21">
        <f t="shared" si="20"/>
        <v>8.8700873362440348E-3</v>
      </c>
      <c r="F67" s="3">
        <v>197</v>
      </c>
      <c r="G67" s="21">
        <f t="shared" si="21"/>
        <v>0</v>
      </c>
      <c r="H67" s="3">
        <v>155.76666666666668</v>
      </c>
      <c r="I67" s="21">
        <f t="shared" si="22"/>
        <v>8.1984897518877099E-3</v>
      </c>
      <c r="J67" s="3">
        <v>164.2</v>
      </c>
      <c r="K67" s="21">
        <f t="shared" si="23"/>
        <v>3.6674816625916523E-3</v>
      </c>
      <c r="L67" s="3">
        <v>164.2</v>
      </c>
      <c r="M67" s="21">
        <f t="shared" si="24"/>
        <v>4.281345565749166E-3</v>
      </c>
      <c r="N67" s="6">
        <v>157.9</v>
      </c>
      <c r="O67" s="21">
        <f t="shared" si="25"/>
        <v>8.5160740898446424E-3</v>
      </c>
      <c r="P67" s="3">
        <v>160.80000000000001</v>
      </c>
      <c r="Q67" s="21">
        <f t="shared" si="26"/>
        <v>3.1191515907673111E-3</v>
      </c>
      <c r="R67" s="3">
        <v>157.30000000000001</v>
      </c>
      <c r="S67" s="21">
        <f t="shared" si="27"/>
        <v>1.9108280254777794E-3</v>
      </c>
      <c r="T67">
        <v>151.19999999999999</v>
      </c>
      <c r="U67" s="21">
        <f t="shared" si="28"/>
        <v>-6.5703022339027601E-3</v>
      </c>
      <c r="V67">
        <v>161.6</v>
      </c>
      <c r="W67" s="21">
        <f t="shared" si="29"/>
        <v>-3.6991368680640837E-3</v>
      </c>
      <c r="Z67" s="1" t="s">
        <v>117</v>
      </c>
      <c r="AA67" s="20">
        <v>0.2722</v>
      </c>
    </row>
    <row r="68" spans="1:31" x14ac:dyDescent="0.3">
      <c r="A68" t="s">
        <v>33</v>
      </c>
      <c r="B68">
        <v>2021</v>
      </c>
      <c r="C68" t="s">
        <v>46</v>
      </c>
      <c r="D68" s="3">
        <v>169.71538461538464</v>
      </c>
      <c r="E68" s="21">
        <f t="shared" si="20"/>
        <v>-5.2301726858737163E-3</v>
      </c>
      <c r="F68" s="3">
        <v>196.8</v>
      </c>
      <c r="G68" s="21">
        <f t="shared" si="21"/>
        <v>-1.0152284263958815E-3</v>
      </c>
      <c r="H68" s="3">
        <v>156.9</v>
      </c>
      <c r="I68" s="21">
        <f t="shared" si="22"/>
        <v>7.2758399315214573E-3</v>
      </c>
      <c r="J68" s="3">
        <v>163.4</v>
      </c>
      <c r="K68" s="21">
        <f t="shared" si="23"/>
        <v>-4.8721071863579964E-3</v>
      </c>
      <c r="L68" s="3">
        <v>165.1</v>
      </c>
      <c r="M68" s="21">
        <f t="shared" si="24"/>
        <v>5.4811205846528972E-3</v>
      </c>
      <c r="N68" s="6">
        <v>158.66666666666666</v>
      </c>
      <c r="O68" s="21">
        <f t="shared" si="25"/>
        <v>4.8553937090984895E-3</v>
      </c>
      <c r="P68" s="3">
        <v>160.6</v>
      </c>
      <c r="Q68" s="21">
        <f t="shared" si="26"/>
        <v>-1.2437810945274692E-3</v>
      </c>
      <c r="R68" s="3">
        <v>157.80000000000001</v>
      </c>
      <c r="S68" s="21">
        <f t="shared" si="27"/>
        <v>3.1786395422759056E-3</v>
      </c>
      <c r="T68">
        <v>151.80000000000001</v>
      </c>
      <c r="U68" s="21">
        <f t="shared" si="28"/>
        <v>3.968253968254119E-3</v>
      </c>
      <c r="V68">
        <v>161.69999999999999</v>
      </c>
      <c r="W68" s="21">
        <f t="shared" si="29"/>
        <v>6.1881188118808369E-4</v>
      </c>
      <c r="Z68" s="1" t="s">
        <v>121</v>
      </c>
      <c r="AA68" s="20">
        <v>0.47612570453153186</v>
      </c>
    </row>
    <row r="69" spans="1:31" x14ac:dyDescent="0.3">
      <c r="A69" t="s">
        <v>33</v>
      </c>
      <c r="B69">
        <v>2022</v>
      </c>
      <c r="C69" t="s">
        <v>31</v>
      </c>
      <c r="D69" s="3">
        <v>168.2076923076923</v>
      </c>
      <c r="E69" s="21">
        <f t="shared" si="20"/>
        <v>-8.883651362008969E-3</v>
      </c>
      <c r="F69" s="3">
        <v>196.4</v>
      </c>
      <c r="G69" s="21">
        <f t="shared" si="21"/>
        <v>-2.0325203252032809E-3</v>
      </c>
      <c r="H69" s="3">
        <v>158.46666666666667</v>
      </c>
      <c r="I69" s="21">
        <f t="shared" si="22"/>
        <v>9.9851285319736312E-3</v>
      </c>
      <c r="J69" s="3">
        <v>164.5</v>
      </c>
      <c r="K69" s="21">
        <f t="shared" si="23"/>
        <v>6.7319461444308093E-3</v>
      </c>
      <c r="L69" s="3">
        <v>166.1</v>
      </c>
      <c r="M69" s="21">
        <f t="shared" si="24"/>
        <v>6.0569351907934586E-3</v>
      </c>
      <c r="N69" s="6">
        <v>159.33333333333334</v>
      </c>
      <c r="O69" s="21">
        <f t="shared" si="25"/>
        <v>4.2016806722690271E-3</v>
      </c>
      <c r="P69" s="3">
        <v>161</v>
      </c>
      <c r="Q69" s="21">
        <f t="shared" si="26"/>
        <v>2.4906600249066358E-3</v>
      </c>
      <c r="R69" s="3">
        <v>158.6</v>
      </c>
      <c r="S69" s="21">
        <f t="shared" si="27"/>
        <v>5.069708491761615E-3</v>
      </c>
      <c r="T69">
        <v>152.69999999999999</v>
      </c>
      <c r="U69" s="21">
        <f t="shared" si="28"/>
        <v>5.928853754940561E-3</v>
      </c>
      <c r="V69">
        <v>161.6</v>
      </c>
      <c r="W69" s="21">
        <f t="shared" si="29"/>
        <v>-6.184291898577262E-4</v>
      </c>
      <c r="Z69" s="1" t="s">
        <v>118</v>
      </c>
      <c r="AA69" s="20">
        <v>0.66754612163370852</v>
      </c>
    </row>
    <row r="70" spans="1:31" x14ac:dyDescent="0.3">
      <c r="A70" t="s">
        <v>33</v>
      </c>
      <c r="B70">
        <v>2022</v>
      </c>
      <c r="C70" t="s">
        <v>35</v>
      </c>
      <c r="D70" s="3">
        <v>167.96153846153845</v>
      </c>
      <c r="E70" s="21">
        <f t="shared" si="20"/>
        <v>-1.4633923263364837E-3</v>
      </c>
      <c r="F70" s="3">
        <v>196.5</v>
      </c>
      <c r="G70" s="21">
        <f t="shared" si="21"/>
        <v>5.0916496945007284E-4</v>
      </c>
      <c r="H70" s="3">
        <v>159.83333333333334</v>
      </c>
      <c r="I70" s="21">
        <f t="shared" si="22"/>
        <v>8.6243163651662236E-3</v>
      </c>
      <c r="J70" s="3">
        <v>165.5</v>
      </c>
      <c r="K70" s="21">
        <f t="shared" si="23"/>
        <v>6.0790273556231003E-3</v>
      </c>
      <c r="L70" s="3">
        <v>167.2</v>
      </c>
      <c r="M70" s="21">
        <f t="shared" si="24"/>
        <v>6.6225165562913569E-3</v>
      </c>
      <c r="N70" s="6">
        <v>160.36666666666665</v>
      </c>
      <c r="O70" s="21">
        <f t="shared" si="25"/>
        <v>6.4853556485353738E-3</v>
      </c>
      <c r="P70" s="3">
        <v>162</v>
      </c>
      <c r="Q70" s="21">
        <f t="shared" si="26"/>
        <v>6.2111801242236021E-3</v>
      </c>
      <c r="R70" s="3">
        <v>159.4</v>
      </c>
      <c r="S70" s="21">
        <f t="shared" si="27"/>
        <v>5.0441361916772473E-3</v>
      </c>
      <c r="T70">
        <v>153.1</v>
      </c>
      <c r="U70" s="21">
        <f t="shared" si="28"/>
        <v>2.6195153896529516E-3</v>
      </c>
      <c r="V70">
        <v>163</v>
      </c>
      <c r="W70" s="21">
        <f t="shared" si="29"/>
        <v>8.6633663366336988E-3</v>
      </c>
      <c r="Z70" s="1" t="s">
        <v>120</v>
      </c>
      <c r="AA70" s="20">
        <v>0.56386983609736752</v>
      </c>
    </row>
    <row r="71" spans="1:31" x14ac:dyDescent="0.3">
      <c r="A71" t="s">
        <v>33</v>
      </c>
      <c r="B71">
        <v>2022</v>
      </c>
      <c r="C71" t="s">
        <v>36</v>
      </c>
      <c r="D71" s="3">
        <v>168.94615384615386</v>
      </c>
      <c r="E71" s="21">
        <f t="shared" si="20"/>
        <v>5.8621479276392604E-3</v>
      </c>
      <c r="F71" s="3">
        <v>197.5</v>
      </c>
      <c r="G71" s="21">
        <f t="shared" si="21"/>
        <v>5.0890585241730284E-3</v>
      </c>
      <c r="H71" s="3">
        <v>161.53333333333333</v>
      </c>
      <c r="I71" s="21">
        <f t="shared" si="22"/>
        <v>1.0636079249217863E-2</v>
      </c>
      <c r="J71" s="3">
        <v>165.3</v>
      </c>
      <c r="K71" s="21">
        <f t="shared" si="23"/>
        <v>-1.2084592145014418E-3</v>
      </c>
      <c r="L71" s="3">
        <v>168.2</v>
      </c>
      <c r="M71" s="21">
        <f t="shared" si="24"/>
        <v>5.9808612440191387E-3</v>
      </c>
      <c r="N71" s="6">
        <v>162.06666666666666</v>
      </c>
      <c r="O71" s="21">
        <f t="shared" si="25"/>
        <v>1.0600706713781027E-2</v>
      </c>
      <c r="P71" s="3">
        <v>162.69999999999999</v>
      </c>
      <c r="Q71" s="21">
        <f t="shared" si="26"/>
        <v>4.3209876543209179E-3</v>
      </c>
      <c r="R71" s="3">
        <v>160.6</v>
      </c>
      <c r="S71" s="21">
        <f t="shared" si="27"/>
        <v>7.5282308657464783E-3</v>
      </c>
      <c r="T71">
        <v>154.19999999999999</v>
      </c>
      <c r="U71" s="21">
        <f t="shared" si="28"/>
        <v>7.1848465055518902E-3</v>
      </c>
      <c r="V71">
        <v>164.5</v>
      </c>
      <c r="W71" s="21">
        <f t="shared" si="29"/>
        <v>9.202453987730062E-3</v>
      </c>
    </row>
    <row r="72" spans="1:31" x14ac:dyDescent="0.3">
      <c r="A72" t="s">
        <v>33</v>
      </c>
      <c r="B72">
        <v>2022</v>
      </c>
      <c r="C72" t="s">
        <v>37</v>
      </c>
      <c r="D72" s="3">
        <v>171.56923076923078</v>
      </c>
      <c r="E72" s="21">
        <f t="shared" si="20"/>
        <v>1.5526112097618719E-2</v>
      </c>
      <c r="F72" s="3">
        <v>197.1</v>
      </c>
      <c r="G72" s="21">
        <f t="shared" si="21"/>
        <v>-2.0253164556962313E-3</v>
      </c>
      <c r="H72" s="3">
        <v>163.06666666666666</v>
      </c>
      <c r="I72" s="21">
        <f t="shared" si="22"/>
        <v>9.4923648369789407E-3</v>
      </c>
      <c r="J72" s="3">
        <v>167</v>
      </c>
      <c r="K72" s="21">
        <f t="shared" si="23"/>
        <v>1.0284331518451231E-2</v>
      </c>
      <c r="L72" s="3">
        <v>169</v>
      </c>
      <c r="M72" s="21">
        <f t="shared" si="24"/>
        <v>4.756242568371055E-3</v>
      </c>
      <c r="N72" s="6">
        <v>163.46666666666667</v>
      </c>
      <c r="O72" s="21">
        <f t="shared" si="25"/>
        <v>8.6384204031263213E-3</v>
      </c>
      <c r="P72" s="3">
        <v>164</v>
      </c>
      <c r="Q72" s="21">
        <f t="shared" si="26"/>
        <v>7.9901659496005618E-3</v>
      </c>
      <c r="R72" s="3">
        <v>163.1</v>
      </c>
      <c r="S72" s="21">
        <f t="shared" si="27"/>
        <v>1.5566625155666251E-2</v>
      </c>
      <c r="T72">
        <v>159.30000000000001</v>
      </c>
      <c r="U72" s="21">
        <f t="shared" si="28"/>
        <v>3.3073929961089647E-2</v>
      </c>
      <c r="V72">
        <v>170.5</v>
      </c>
      <c r="W72" s="21">
        <f t="shared" si="29"/>
        <v>3.64741641337386E-2</v>
      </c>
    </row>
    <row r="73" spans="1:31" x14ac:dyDescent="0.3">
      <c r="A73" t="s">
        <v>33</v>
      </c>
      <c r="B73">
        <v>2022</v>
      </c>
      <c r="C73" t="s">
        <v>38</v>
      </c>
      <c r="D73" s="3">
        <v>174.01538461538465</v>
      </c>
      <c r="E73" s="21">
        <f t="shared" si="20"/>
        <v>1.4257532281205259E-2</v>
      </c>
      <c r="F73" s="3">
        <v>197.5</v>
      </c>
      <c r="G73" s="21">
        <f t="shared" si="21"/>
        <v>2.0294266869609625E-3</v>
      </c>
      <c r="H73" s="3">
        <v>164.56666666666666</v>
      </c>
      <c r="I73" s="21">
        <f t="shared" si="22"/>
        <v>9.1986917416189695E-3</v>
      </c>
      <c r="J73" s="3">
        <v>167.5</v>
      </c>
      <c r="K73" s="21">
        <f t="shared" si="23"/>
        <v>2.9940119760479044E-3</v>
      </c>
      <c r="L73" s="3">
        <v>170.1</v>
      </c>
      <c r="M73" s="21">
        <f t="shared" si="24"/>
        <v>6.5088757396449363E-3</v>
      </c>
      <c r="N73" s="6">
        <v>164.16666666666666</v>
      </c>
      <c r="O73" s="21">
        <f t="shared" si="25"/>
        <v>4.2822185970635522E-3</v>
      </c>
      <c r="P73" s="3">
        <v>165.2</v>
      </c>
      <c r="Q73" s="21">
        <f t="shared" si="26"/>
        <v>7.3170731707316384E-3</v>
      </c>
      <c r="R73" s="3">
        <v>163.80000000000001</v>
      </c>
      <c r="S73" s="21">
        <f t="shared" si="27"/>
        <v>4.2918454935623367E-3</v>
      </c>
      <c r="T73">
        <v>159.4</v>
      </c>
      <c r="U73" s="21">
        <f t="shared" si="28"/>
        <v>6.2774639045821913E-4</v>
      </c>
      <c r="V73">
        <v>173.5</v>
      </c>
      <c r="W73" s="21">
        <f t="shared" si="29"/>
        <v>1.7595307917888565E-2</v>
      </c>
    </row>
    <row r="74" spans="1:31" x14ac:dyDescent="0.3">
      <c r="A74" t="s">
        <v>33</v>
      </c>
      <c r="B74">
        <v>2022</v>
      </c>
      <c r="C74" t="s">
        <v>39</v>
      </c>
      <c r="D74" s="3">
        <v>175.96153846153845</v>
      </c>
      <c r="E74" s="21">
        <f t="shared" si="20"/>
        <v>1.1183803377243156E-2</v>
      </c>
      <c r="F74" s="3">
        <v>198.3</v>
      </c>
      <c r="G74" s="21">
        <f t="shared" si="21"/>
        <v>4.0506329113924626E-3</v>
      </c>
      <c r="H74" s="3">
        <v>166.13333333333333</v>
      </c>
      <c r="I74" s="21">
        <f t="shared" si="22"/>
        <v>9.5199513874822533E-3</v>
      </c>
      <c r="J74" s="3">
        <v>166.8</v>
      </c>
      <c r="K74" s="21">
        <f t="shared" si="23"/>
        <v>-4.1791044776118723E-3</v>
      </c>
      <c r="L74" s="3">
        <v>170.9</v>
      </c>
      <c r="M74" s="21">
        <f t="shared" si="24"/>
        <v>4.7031158142269922E-3</v>
      </c>
      <c r="N74" s="6">
        <v>165.13333333333333</v>
      </c>
      <c r="O74" s="21">
        <f t="shared" si="25"/>
        <v>5.8883248730964583E-3</v>
      </c>
      <c r="P74" s="3">
        <v>166.5</v>
      </c>
      <c r="Q74" s="21">
        <f t="shared" si="26"/>
        <v>7.8692493946731935E-3</v>
      </c>
      <c r="R74" s="3">
        <v>163.80000000000001</v>
      </c>
      <c r="S74" s="21">
        <f t="shared" si="27"/>
        <v>0</v>
      </c>
      <c r="T74">
        <v>157.19999999999999</v>
      </c>
      <c r="U74" s="21">
        <f t="shared" si="28"/>
        <v>-1.3801756587202113E-2</v>
      </c>
      <c r="V74">
        <v>174.9</v>
      </c>
      <c r="W74" s="21">
        <f t="shared" si="29"/>
        <v>8.0691642651297153E-3</v>
      </c>
    </row>
    <row r="75" spans="1:31" x14ac:dyDescent="0.3">
      <c r="A75" t="s">
        <v>33</v>
      </c>
      <c r="B75">
        <v>2022</v>
      </c>
      <c r="C75" t="s">
        <v>40</v>
      </c>
      <c r="D75" s="3">
        <v>176.27692307692308</v>
      </c>
      <c r="E75" s="21">
        <f t="shared" si="20"/>
        <v>1.7923497267760408E-3</v>
      </c>
      <c r="F75" s="3">
        <v>198.6</v>
      </c>
      <c r="G75" s="21">
        <f t="shared" si="21"/>
        <v>1.5128593040846341E-3</v>
      </c>
      <c r="H75" s="3">
        <v>167.33333333333334</v>
      </c>
      <c r="I75" s="21">
        <f t="shared" si="22"/>
        <v>7.2231139646871017E-3</v>
      </c>
      <c r="J75" s="3">
        <v>167.8</v>
      </c>
      <c r="K75" s="21">
        <f t="shared" si="23"/>
        <v>5.9952038369304557E-3</v>
      </c>
      <c r="L75" s="3">
        <v>171.7</v>
      </c>
      <c r="M75" s="21">
        <f t="shared" si="24"/>
        <v>4.6811000585136511E-3</v>
      </c>
      <c r="N75" s="6">
        <v>165.83333333333334</v>
      </c>
      <c r="O75" s="21">
        <f t="shared" si="25"/>
        <v>4.238998788857592E-3</v>
      </c>
      <c r="P75" s="3">
        <v>169.1</v>
      </c>
      <c r="Q75" s="21">
        <f t="shared" si="26"/>
        <v>1.5615615615615582E-2</v>
      </c>
      <c r="R75" s="3">
        <v>164.7</v>
      </c>
      <c r="S75" s="21">
        <f t="shared" si="27"/>
        <v>5.4945054945053553E-3</v>
      </c>
      <c r="T75">
        <v>157.4</v>
      </c>
      <c r="U75" s="21">
        <f t="shared" si="28"/>
        <v>1.2722646310433655E-3</v>
      </c>
      <c r="V75">
        <v>179.5</v>
      </c>
      <c r="W75" s="21">
        <f t="shared" si="29"/>
        <v>2.6300743281875323E-2</v>
      </c>
    </row>
    <row r="76" spans="1:31" x14ac:dyDescent="0.3">
      <c r="A76" t="s">
        <v>33</v>
      </c>
      <c r="B76">
        <v>2022</v>
      </c>
      <c r="C76" t="s">
        <v>41</v>
      </c>
      <c r="D76" s="3">
        <v>176.43846153846152</v>
      </c>
      <c r="E76" s="21">
        <f t="shared" si="20"/>
        <v>9.1639029499028556E-4</v>
      </c>
      <c r="F76" s="3">
        <v>198.7</v>
      </c>
      <c r="G76" s="21">
        <f t="shared" si="21"/>
        <v>5.0352467270893412E-4</v>
      </c>
      <c r="H76" s="3">
        <v>168.43333333333331</v>
      </c>
      <c r="I76" s="21">
        <f t="shared" si="22"/>
        <v>6.5737051792826642E-3</v>
      </c>
      <c r="J76" s="3">
        <v>169</v>
      </c>
      <c r="K76" s="21">
        <f t="shared" si="23"/>
        <v>7.1513706793801465E-3</v>
      </c>
      <c r="L76" s="3">
        <v>172.6</v>
      </c>
      <c r="M76" s="21">
        <f t="shared" si="24"/>
        <v>5.2417006406523343E-3</v>
      </c>
      <c r="N76" s="6">
        <v>166.89999999999998</v>
      </c>
      <c r="O76" s="21">
        <f t="shared" si="25"/>
        <v>6.4321608040199055E-3</v>
      </c>
      <c r="P76" s="3">
        <v>169.9</v>
      </c>
      <c r="Q76" s="21">
        <f t="shared" si="26"/>
        <v>4.730928444707341E-3</v>
      </c>
      <c r="R76" s="3">
        <v>165.4</v>
      </c>
      <c r="S76" s="21">
        <f t="shared" si="27"/>
        <v>4.2501517911355015E-3</v>
      </c>
      <c r="T76">
        <v>157.69999999999999</v>
      </c>
      <c r="U76" s="21">
        <f t="shared" si="28"/>
        <v>1.9059720457432208E-3</v>
      </c>
      <c r="V76">
        <v>178.4</v>
      </c>
      <c r="W76" s="21">
        <f t="shared" si="29"/>
        <v>-6.1281337047353448E-3</v>
      </c>
    </row>
    <row r="77" spans="1:31" x14ac:dyDescent="0.3">
      <c r="A77" t="s">
        <v>33</v>
      </c>
      <c r="B77">
        <v>2022</v>
      </c>
      <c r="C77" t="s">
        <v>42</v>
      </c>
      <c r="D77" s="3">
        <v>177.41538461538462</v>
      </c>
      <c r="E77" s="21">
        <f t="shared" si="20"/>
        <v>5.5369054366309033E-3</v>
      </c>
      <c r="F77" s="3">
        <v>199.7</v>
      </c>
      <c r="G77" s="21">
        <f t="shared" si="21"/>
        <v>5.0327126321087065E-3</v>
      </c>
      <c r="H77" s="3">
        <v>169.9</v>
      </c>
      <c r="I77" s="21">
        <f t="shared" si="22"/>
        <v>8.7076983969920675E-3</v>
      </c>
      <c r="J77" s="3">
        <v>169.5</v>
      </c>
      <c r="K77" s="21">
        <f t="shared" si="23"/>
        <v>2.9585798816568047E-3</v>
      </c>
      <c r="L77" s="3">
        <v>173.8</v>
      </c>
      <c r="M77" s="21">
        <f t="shared" si="24"/>
        <v>6.952491309385962E-3</v>
      </c>
      <c r="N77" s="6">
        <v>167.29999999999998</v>
      </c>
      <c r="O77" s="21">
        <f t="shared" si="25"/>
        <v>2.3966446974236413E-3</v>
      </c>
      <c r="P77" s="3">
        <v>170.9</v>
      </c>
      <c r="Q77" s="21">
        <f t="shared" si="26"/>
        <v>5.885815185403178E-3</v>
      </c>
      <c r="R77" s="3">
        <v>166.1</v>
      </c>
      <c r="S77" s="21">
        <f t="shared" si="27"/>
        <v>4.2321644498185523E-3</v>
      </c>
      <c r="T77">
        <v>158.19999999999999</v>
      </c>
      <c r="U77" s="21">
        <f t="shared" si="28"/>
        <v>3.1705770450221942E-3</v>
      </c>
      <c r="V77">
        <v>179.2</v>
      </c>
      <c r="W77" s="21">
        <f t="shared" si="29"/>
        <v>4.4843049327353305E-3</v>
      </c>
    </row>
    <row r="78" spans="1:31" x14ac:dyDescent="0.3">
      <c r="A78" t="s">
        <v>33</v>
      </c>
      <c r="B78">
        <v>2022</v>
      </c>
      <c r="C78" t="s">
        <v>43</v>
      </c>
      <c r="D78" s="3">
        <v>178.63846153846154</v>
      </c>
      <c r="E78" s="21">
        <f t="shared" si="20"/>
        <v>6.8938605619146371E-3</v>
      </c>
      <c r="F78" s="3">
        <v>200.1</v>
      </c>
      <c r="G78" s="21">
        <f t="shared" si="21"/>
        <v>2.0030045067601686E-3</v>
      </c>
      <c r="H78" s="3">
        <v>170.56666666666669</v>
      </c>
      <c r="I78" s="21">
        <f t="shared" si="22"/>
        <v>3.9238767902688969E-3</v>
      </c>
      <c r="J78" s="3">
        <v>171.2</v>
      </c>
      <c r="K78" s="21">
        <f t="shared" si="23"/>
        <v>1.0029498525073679E-2</v>
      </c>
      <c r="L78" s="3">
        <v>174.7</v>
      </c>
      <c r="M78" s="21">
        <f t="shared" si="24"/>
        <v>5.1783659378594775E-3</v>
      </c>
      <c r="N78" s="6">
        <v>168.20000000000002</v>
      </c>
      <c r="O78" s="21">
        <f t="shared" si="25"/>
        <v>5.3795576808131152E-3</v>
      </c>
      <c r="P78" s="3">
        <v>171.2</v>
      </c>
      <c r="Q78" s="21">
        <f t="shared" si="26"/>
        <v>1.7554125219425567E-3</v>
      </c>
      <c r="R78" s="3">
        <v>166.8</v>
      </c>
      <c r="S78" s="21">
        <f t="shared" si="27"/>
        <v>4.2143287176400791E-3</v>
      </c>
      <c r="T78">
        <v>158.80000000000001</v>
      </c>
      <c r="U78" s="21">
        <f t="shared" si="28"/>
        <v>3.7926675094818126E-3</v>
      </c>
      <c r="V78">
        <v>180</v>
      </c>
      <c r="W78" s="21">
        <f t="shared" si="29"/>
        <v>4.4642857142857782E-3</v>
      </c>
    </row>
    <row r="79" spans="1:31" x14ac:dyDescent="0.3">
      <c r="A79" t="s">
        <v>33</v>
      </c>
      <c r="B79">
        <v>2022</v>
      </c>
      <c r="C79" t="s">
        <v>45</v>
      </c>
      <c r="D79" s="3">
        <v>178.03076923076924</v>
      </c>
      <c r="E79" s="21">
        <f t="shared" si="20"/>
        <v>-3.4017999397149157E-3</v>
      </c>
      <c r="F79" s="3">
        <v>200.6</v>
      </c>
      <c r="G79" s="21">
        <f t="shared" si="21"/>
        <v>2.4987506246876563E-3</v>
      </c>
      <c r="H79" s="3">
        <v>171.63333333333333</v>
      </c>
      <c r="I79" s="21">
        <f t="shared" si="22"/>
        <v>6.2536642564000443E-3</v>
      </c>
      <c r="J79" s="3">
        <v>171.8</v>
      </c>
      <c r="K79" s="21">
        <f t="shared" si="23"/>
        <v>3.5046728971963948E-3</v>
      </c>
      <c r="L79" s="3">
        <v>175.8</v>
      </c>
      <c r="M79" s="21">
        <f t="shared" si="24"/>
        <v>6.2965082999428892E-3</v>
      </c>
      <c r="N79" s="6">
        <v>169.13333333333335</v>
      </c>
      <c r="O79" s="21">
        <f t="shared" si="25"/>
        <v>5.5489496630995068E-3</v>
      </c>
      <c r="P79" s="3">
        <v>171.5</v>
      </c>
      <c r="Q79" s="21">
        <f t="shared" si="26"/>
        <v>1.7523364485981974E-3</v>
      </c>
      <c r="R79" s="3">
        <v>167.4</v>
      </c>
      <c r="S79" s="21">
        <f t="shared" si="27"/>
        <v>3.5971223021582389E-3</v>
      </c>
      <c r="T79">
        <v>158.9</v>
      </c>
      <c r="U79" s="21">
        <f t="shared" si="28"/>
        <v>6.2972292191432189E-4</v>
      </c>
      <c r="V79">
        <v>180.3</v>
      </c>
      <c r="W79" s="21">
        <f t="shared" si="29"/>
        <v>1.6666666666667299E-3</v>
      </c>
    </row>
    <row r="80" spans="1:31" x14ac:dyDescent="0.3">
      <c r="A80" t="s">
        <v>33</v>
      </c>
      <c r="B80">
        <v>2022</v>
      </c>
      <c r="C80" t="s">
        <v>46</v>
      </c>
      <c r="D80" s="3">
        <v>176.59999999999997</v>
      </c>
      <c r="E80" s="21">
        <f t="shared" si="20"/>
        <v>-8.0366401659179628E-3</v>
      </c>
      <c r="F80" s="3">
        <v>201.1</v>
      </c>
      <c r="G80" s="21">
        <f t="shared" si="21"/>
        <v>2.4925224327018943E-3</v>
      </c>
      <c r="H80" s="3">
        <v>172.63333333333333</v>
      </c>
      <c r="I80" s="21">
        <f t="shared" si="22"/>
        <v>5.8263740532142165E-3</v>
      </c>
      <c r="J80" s="3">
        <v>170.7</v>
      </c>
      <c r="K80" s="21">
        <f t="shared" si="23"/>
        <v>-6.4027939464494921E-3</v>
      </c>
      <c r="L80" s="3">
        <v>177.2</v>
      </c>
      <c r="M80" s="21">
        <f t="shared" si="24"/>
        <v>7.9635949943115888E-3</v>
      </c>
      <c r="N80" s="6">
        <v>170.13333333333333</v>
      </c>
      <c r="O80" s="21">
        <f t="shared" si="25"/>
        <v>5.9124950729206038E-3</v>
      </c>
      <c r="P80" s="3">
        <v>171.8</v>
      </c>
      <c r="Q80" s="21">
        <f t="shared" si="26"/>
        <v>1.7492711370263054E-3</v>
      </c>
      <c r="R80" s="3">
        <v>168.2</v>
      </c>
      <c r="S80" s="21">
        <f t="shared" si="27"/>
        <v>4.778972520907903E-3</v>
      </c>
      <c r="T80">
        <v>159.4</v>
      </c>
      <c r="U80" s="21">
        <f t="shared" si="28"/>
        <v>3.1466331025802388E-3</v>
      </c>
      <c r="V80">
        <v>180.6</v>
      </c>
      <c r="W80" s="21">
        <f t="shared" si="29"/>
        <v>1.6638935108152131E-3</v>
      </c>
    </row>
    <row r="81" spans="1:23" x14ac:dyDescent="0.3">
      <c r="A81" t="s">
        <v>33</v>
      </c>
      <c r="B81">
        <v>2023</v>
      </c>
      <c r="C81" t="s">
        <v>31</v>
      </c>
      <c r="D81" s="3">
        <v>177.70769230769233</v>
      </c>
      <c r="E81" s="21">
        <f t="shared" si="20"/>
        <v>6.2723233731164256E-3</v>
      </c>
      <c r="F81" s="3">
        <v>201.6</v>
      </c>
      <c r="G81" s="21">
        <f t="shared" si="21"/>
        <v>2.4863252113376429E-3</v>
      </c>
      <c r="H81" s="3">
        <v>173.53333333333333</v>
      </c>
      <c r="I81" s="21">
        <f t="shared" si="22"/>
        <v>5.2133616528287647E-3</v>
      </c>
      <c r="J81" s="3">
        <v>172.1</v>
      </c>
      <c r="K81" s="21">
        <f t="shared" si="23"/>
        <v>8.201523140011751E-3</v>
      </c>
      <c r="L81" s="3">
        <v>178.5</v>
      </c>
      <c r="M81" s="21">
        <f t="shared" si="24"/>
        <v>7.3363431151242178E-3</v>
      </c>
      <c r="N81" s="6">
        <v>171.53333333333333</v>
      </c>
      <c r="O81" s="21">
        <f t="shared" si="25"/>
        <v>8.2288401253918838E-3</v>
      </c>
      <c r="P81" s="3">
        <v>171.8</v>
      </c>
      <c r="Q81" s="21">
        <f t="shared" si="26"/>
        <v>0</v>
      </c>
      <c r="R81" s="3">
        <v>168.9</v>
      </c>
      <c r="S81" s="21">
        <f t="shared" si="27"/>
        <v>4.1617122473247151E-3</v>
      </c>
      <c r="T81">
        <v>159.5</v>
      </c>
      <c r="U81" s="21">
        <f t="shared" si="28"/>
        <v>6.2735257214551008E-4</v>
      </c>
      <c r="V81">
        <v>180.1</v>
      </c>
      <c r="W81" s="21">
        <f t="shared" si="29"/>
        <v>-2.7685492801771874E-3</v>
      </c>
    </row>
    <row r="82" spans="1:23" x14ac:dyDescent="0.3">
      <c r="A82" t="s">
        <v>33</v>
      </c>
      <c r="B82">
        <v>2023</v>
      </c>
      <c r="C82" t="s">
        <v>35</v>
      </c>
      <c r="D82" s="3">
        <v>177.16923076923075</v>
      </c>
      <c r="E82" s="21">
        <f t="shared" si="20"/>
        <v>-3.0300406891180342E-3</v>
      </c>
      <c r="F82" s="3">
        <v>202.7</v>
      </c>
      <c r="G82" s="21">
        <f t="shared" si="21"/>
        <v>5.4563492063491783E-3</v>
      </c>
      <c r="H82" s="3">
        <v>175.16666666666666</v>
      </c>
      <c r="I82" s="21">
        <f t="shared" si="22"/>
        <v>9.4122166730694918E-3</v>
      </c>
      <c r="J82" s="3">
        <v>173.5</v>
      </c>
      <c r="K82" s="21">
        <f t="shared" si="23"/>
        <v>8.1348053457292614E-3</v>
      </c>
      <c r="L82" s="3">
        <v>180.8</v>
      </c>
      <c r="M82" s="21">
        <f t="shared" si="24"/>
        <v>1.2885154061624713E-2</v>
      </c>
      <c r="N82" s="6">
        <v>173</v>
      </c>
      <c r="O82" s="21">
        <f t="shared" si="25"/>
        <v>8.5503303536727665E-3</v>
      </c>
      <c r="P82" s="3">
        <v>172.5</v>
      </c>
      <c r="Q82" s="21">
        <f t="shared" si="26"/>
        <v>4.0745052386495263E-3</v>
      </c>
      <c r="R82" s="3">
        <v>170</v>
      </c>
      <c r="S82" s="21">
        <f t="shared" si="27"/>
        <v>6.5127294256956438E-3</v>
      </c>
      <c r="T82">
        <v>159.80000000000001</v>
      </c>
      <c r="U82" s="21">
        <f t="shared" si="28"/>
        <v>1.8808777429467798E-3</v>
      </c>
      <c r="V82">
        <v>182.8</v>
      </c>
      <c r="W82" s="21">
        <f t="shared" si="29"/>
        <v>1.4991671293725804E-2</v>
      </c>
    </row>
    <row r="83" spans="1:23" x14ac:dyDescent="0.3">
      <c r="A83" t="s">
        <v>33</v>
      </c>
      <c r="B83">
        <v>2023</v>
      </c>
      <c r="C83" t="s">
        <v>36</v>
      </c>
      <c r="D83" s="3">
        <v>177.1846153846154</v>
      </c>
      <c r="E83" s="21">
        <f t="shared" si="20"/>
        <v>8.6835706842833875E-5</v>
      </c>
      <c r="F83" s="3">
        <v>202.7</v>
      </c>
      <c r="G83" s="21">
        <f t="shared" si="21"/>
        <v>0</v>
      </c>
      <c r="H83" s="3">
        <v>175.13333333333333</v>
      </c>
      <c r="I83" s="21">
        <f t="shared" si="22"/>
        <v>-1.9029495718362382E-4</v>
      </c>
      <c r="J83" s="3">
        <v>173.5</v>
      </c>
      <c r="K83" s="21">
        <f t="shared" si="23"/>
        <v>0</v>
      </c>
      <c r="L83" s="3">
        <v>180.8</v>
      </c>
      <c r="M83" s="21">
        <f t="shared" si="24"/>
        <v>0</v>
      </c>
      <c r="N83" s="6">
        <v>173.03333333333333</v>
      </c>
      <c r="O83" s="21">
        <f t="shared" si="25"/>
        <v>1.9267822736029734E-4</v>
      </c>
      <c r="P83" s="3">
        <v>172.5</v>
      </c>
      <c r="Q83" s="21">
        <f t="shared" si="26"/>
        <v>0</v>
      </c>
      <c r="R83" s="3">
        <v>170</v>
      </c>
      <c r="S83" s="21">
        <f t="shared" si="27"/>
        <v>0</v>
      </c>
      <c r="T83">
        <v>159.80000000000001</v>
      </c>
      <c r="U83" s="21">
        <f t="shared" si="28"/>
        <v>0</v>
      </c>
      <c r="V83">
        <v>182.6</v>
      </c>
      <c r="W83" s="21">
        <f t="shared" si="29"/>
        <v>-1.0940919037200057E-3</v>
      </c>
    </row>
    <row r="84" spans="1:23" x14ac:dyDescent="0.3">
      <c r="A84" t="s">
        <v>33</v>
      </c>
      <c r="B84">
        <v>2023</v>
      </c>
      <c r="C84" t="s">
        <v>37</v>
      </c>
      <c r="D84" s="3">
        <v>178.28461538461539</v>
      </c>
      <c r="E84" s="21">
        <f t="shared" si="20"/>
        <v>6.2082139446035965E-3</v>
      </c>
      <c r="F84" s="3">
        <v>203.5</v>
      </c>
      <c r="G84" s="21">
        <f t="shared" si="21"/>
        <v>3.9467192895905846E-3</v>
      </c>
      <c r="H84" s="3">
        <v>175.86666666666667</v>
      </c>
      <c r="I84" s="21">
        <f t="shared" si="22"/>
        <v>4.187285877426809E-3</v>
      </c>
      <c r="J84" s="3">
        <v>175.2</v>
      </c>
      <c r="K84" s="21">
        <f t="shared" si="23"/>
        <v>9.7982708933716921E-3</v>
      </c>
      <c r="L84" s="3">
        <v>181.5</v>
      </c>
      <c r="M84" s="21">
        <f t="shared" si="24"/>
        <v>3.8716814159291406E-3</v>
      </c>
      <c r="N84" s="6">
        <v>174.26666666666665</v>
      </c>
      <c r="O84" s="21">
        <f t="shared" si="25"/>
        <v>7.127721055673204E-3</v>
      </c>
      <c r="P84" s="3">
        <v>174.2</v>
      </c>
      <c r="Q84" s="21">
        <f t="shared" si="26"/>
        <v>9.8550724637680494E-3</v>
      </c>
      <c r="R84" s="3">
        <v>170.9</v>
      </c>
      <c r="S84" s="21">
        <f t="shared" si="27"/>
        <v>5.2941176470588571E-3</v>
      </c>
      <c r="T84">
        <v>160.1</v>
      </c>
      <c r="U84" s="21">
        <f t="shared" si="28"/>
        <v>1.877346683354086E-3</v>
      </c>
      <c r="V84">
        <v>182.1</v>
      </c>
      <c r="W84" s="21">
        <f t="shared" si="29"/>
        <v>-2.7382256297918948E-3</v>
      </c>
    </row>
    <row r="85" spans="1:23" x14ac:dyDescent="0.3">
      <c r="A85" t="s">
        <v>33</v>
      </c>
      <c r="B85">
        <v>2023</v>
      </c>
      <c r="C85" t="s">
        <v>38</v>
      </c>
      <c r="D85" s="3">
        <v>179.62307692307692</v>
      </c>
      <c r="E85" s="21">
        <f t="shared" si="20"/>
        <v>7.5074427233895206E-3</v>
      </c>
      <c r="F85" s="3">
        <v>204.2</v>
      </c>
      <c r="G85" s="21">
        <f t="shared" si="21"/>
        <v>3.4398034398033838E-3</v>
      </c>
      <c r="H85" s="3">
        <v>176.23333333333335</v>
      </c>
      <c r="I85" s="21">
        <f t="shared" si="22"/>
        <v>2.0849128127369649E-3</v>
      </c>
      <c r="J85" s="3">
        <v>175.6</v>
      </c>
      <c r="K85" s="21">
        <f t="shared" si="23"/>
        <v>2.2831050228310826E-3</v>
      </c>
      <c r="L85" s="3">
        <v>182.2</v>
      </c>
      <c r="M85" s="21">
        <f t="shared" si="24"/>
        <v>3.8567493112947032E-3</v>
      </c>
      <c r="N85" s="6">
        <v>174.96666666666667</v>
      </c>
      <c r="O85" s="21">
        <f t="shared" si="25"/>
        <v>4.0168324407039999E-3</v>
      </c>
      <c r="P85" s="3">
        <v>174.8</v>
      </c>
      <c r="Q85" s="21">
        <f t="shared" si="26"/>
        <v>3.4443168771528289E-3</v>
      </c>
      <c r="R85" s="3">
        <v>171.6</v>
      </c>
      <c r="S85" s="21">
        <f t="shared" si="27"/>
        <v>4.0959625511994653E-3</v>
      </c>
      <c r="T85">
        <v>160.4</v>
      </c>
      <c r="U85" s="21">
        <f t="shared" si="28"/>
        <v>1.8738288569644683E-3</v>
      </c>
      <c r="V85">
        <v>183.4</v>
      </c>
      <c r="W85" s="21">
        <f t="shared" si="29"/>
        <v>7.1389346512905627E-3</v>
      </c>
    </row>
    <row r="86" spans="1:23" x14ac:dyDescent="0.3">
      <c r="E86" s="42">
        <f>CORREL(E63:E85,$W$63:$W$85)</f>
        <v>0.3018631234796807</v>
      </c>
      <c r="G86" s="42">
        <f>CORREL(G63:G85,$W$63:$W$85)</f>
        <v>3.9205783548985615E-2</v>
      </c>
      <c r="I86" s="42">
        <f>CORREL(I63:I85,$W$63:$W$85)</f>
        <v>0.43738890125463314</v>
      </c>
      <c r="K86" s="42">
        <f>CORREL(K63:K85,$W$63:$W$85)</f>
        <v>0.22294741936600401</v>
      </c>
      <c r="M86" s="42">
        <f>CORREL(M63:M85,$W$63:$W$85)</f>
        <v>0.21828470854592608</v>
      </c>
      <c r="O86" s="42">
        <f>CORREL(O63:O85,$W$63:$W$85)</f>
        <v>0.27223044139245844</v>
      </c>
      <c r="Q86" s="42">
        <f>CORREL(Q63:Q85,$W$63:$W$85)</f>
        <v>0.47612570453153186</v>
      </c>
      <c r="S86" s="42">
        <f>CORREL(S63:S85,$W$63:$W$85)</f>
        <v>0.66754612163370852</v>
      </c>
      <c r="U86" s="42">
        <f>CORREL(U63:U85,$W$63:$W$85)</f>
        <v>0.56386983609736752</v>
      </c>
      <c r="W86" s="42"/>
    </row>
  </sheetData>
  <autoFilter ref="A1:W13" xr:uid="{8AFFA56D-4E15-48EE-B565-7C07816DC8F2}"/>
  <mergeCells count="3">
    <mergeCell ref="AC3:AE6"/>
    <mergeCell ref="AC34:AE37"/>
    <mergeCell ref="AC62:AE65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Orginal_All_india_index</vt:lpstr>
      <vt:lpstr>PROBLEM STATEMENT</vt:lpstr>
      <vt:lpstr>All_India_Index_Upto_April23 (1</vt:lpstr>
      <vt:lpstr>Broder Categories</vt:lpstr>
      <vt:lpstr>Problem 1</vt:lpstr>
      <vt:lpstr>Problem 2</vt:lpstr>
      <vt:lpstr>Prb 3 Question 1</vt:lpstr>
      <vt:lpstr>Prb 3 Question 2</vt:lpstr>
      <vt:lpstr>4.1Rular </vt:lpstr>
      <vt:lpstr>4.2Rural+Urabn</vt:lpstr>
      <vt:lpstr>4.3Urban</vt:lpstr>
      <vt:lpstr>Problem 5.1</vt:lpstr>
      <vt:lpstr>Problem 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MEHTA</dc:creator>
  <cp:lastModifiedBy>DEEPAK MEHTA</cp:lastModifiedBy>
  <cp:lastPrinted>2024-11-21T05:23:25Z</cp:lastPrinted>
  <dcterms:created xsi:type="dcterms:W3CDTF">2024-10-26T14:27:35Z</dcterms:created>
  <dcterms:modified xsi:type="dcterms:W3CDTF">2025-01-16T07:19:32Z</dcterms:modified>
</cp:coreProperties>
</file>